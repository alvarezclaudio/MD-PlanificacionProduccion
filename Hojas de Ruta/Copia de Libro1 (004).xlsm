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medina\Documents\GitHub\Repositorio-Git\MD-PlanificacionProduccion\Hojas de Ruta\"/>
    </mc:Choice>
  </mc:AlternateContent>
  <bookViews>
    <workbookView xWindow="0" yWindow="0" windowWidth="24000" windowHeight="9885"/>
  </bookViews>
  <sheets>
    <sheet name="Hoja4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4" l="1"/>
  <c r="E2" i="4"/>
  <c r="F50" i="4"/>
  <c r="E40" i="4"/>
  <c r="H69" i="4" l="1"/>
  <c r="H67" i="4"/>
  <c r="H65" i="4"/>
  <c r="H63" i="4"/>
  <c r="H60" i="4"/>
  <c r="H54" i="4"/>
  <c r="H51" i="4"/>
  <c r="H48" i="4"/>
  <c r="H46" i="4"/>
  <c r="H44" i="4"/>
  <c r="H41" i="4"/>
  <c r="H38" i="4"/>
  <c r="H36" i="4"/>
  <c r="H32" i="4"/>
  <c r="H29" i="4"/>
  <c r="H27" i="4"/>
  <c r="H24" i="4"/>
  <c r="H22" i="4"/>
  <c r="H20" i="4"/>
  <c r="H17" i="4"/>
  <c r="H15" i="4"/>
  <c r="H12" i="4"/>
  <c r="H10" i="4"/>
  <c r="H3" i="4"/>
  <c r="H5" i="4"/>
  <c r="E62" i="4"/>
  <c r="E50" i="4"/>
  <c r="E31" i="4"/>
  <c r="E19" i="4"/>
  <c r="E9" i="4"/>
  <c r="F62" i="4"/>
  <c r="F40" i="4"/>
  <c r="F31" i="4"/>
  <c r="F19" i="4"/>
  <c r="F2" i="4"/>
  <c r="F71" i="4" l="1"/>
  <c r="E71" i="4"/>
  <c r="H40" i="4"/>
  <c r="H62" i="4"/>
  <c r="H50" i="4"/>
  <c r="H2" i="4"/>
  <c r="H31" i="4"/>
  <c r="H9" i="4"/>
  <c r="H19" i="4"/>
</calcChain>
</file>

<file path=xl/sharedStrings.xml><?xml version="1.0" encoding="utf-8"?>
<sst xmlns="http://schemas.openxmlformats.org/spreadsheetml/2006/main" count="215" uniqueCount="67">
  <si>
    <t xml:space="preserve">[TRA] LIMPIEZA MECANICA - LAVADO Y PREPARACIONDE PARTES </t>
  </si>
  <si>
    <t>PÉREZ MANSILLA ROBINSON</t>
  </si>
  <si>
    <t>[TRA] ARMADO - ARMADO Y AJUSTE DE CAJA DE TRA</t>
  </si>
  <si>
    <t>JARA GUERRERO MARIO</t>
  </si>
  <si>
    <t>[TRA] LIMPIEZA MECANICA - LAVADO DE EJE DIFERECIAL</t>
  </si>
  <si>
    <t>[TRA] DESARME - DESARME Y EVALUACION DE PIEZAS</t>
  </si>
  <si>
    <t>#</t>
  </si>
  <si>
    <t>NO TIENE HORAS CARGADAS</t>
  </si>
  <si>
    <t>PÉREZ MUÑOZ RODRIGO</t>
  </si>
  <si>
    <t>[TRA] INFORME TÉCNICO - CONFECCION DE INFORME TECNICO</t>
  </si>
  <si>
    <t>[TRA] DESARME - ALMACENAMIENTO DE PARTES</t>
  </si>
  <si>
    <t>[TRA] LIMPIEZA MECANICA - LIMPIEZA EXTERIOR</t>
  </si>
  <si>
    <t>[TRA] AJUSTAR TRANSMISIÓN - DRENAJE ACEITE</t>
  </si>
  <si>
    <t>[TRA] DESARME - DESARME, LIMPIEZA Y EVALUACION</t>
  </si>
  <si>
    <t>[TRA] INFORME TÉCNICO - GENERAR INFORME TÉCNICO</t>
  </si>
  <si>
    <t>CUBILLOS AGUILA CARLOS</t>
  </si>
  <si>
    <t>[TRA] DESARME - ALMACENAJE DE PIEZAS</t>
  </si>
  <si>
    <t>[TRA] PRUEBA EN BANCO - PRUEBA EN BANCO DE TRANSMISION</t>
  </si>
  <si>
    <t>[TRA] PRUEBA EN BANCO - INFORME TECNICO TRANSMISION HR</t>
  </si>
  <si>
    <t>[TRA] DESARME - DESARME CUERPO DE VALVULAS</t>
  </si>
  <si>
    <t>RIQUELME NORAMBUENA RODRIGO</t>
  </si>
  <si>
    <t xml:space="preserve">[TRA] PRUEBA EN BANCO - MONTAJE EN BANCO Y LLENADO DE </t>
  </si>
  <si>
    <t>[TRA] PRUEBA EN BANCO - PRUEBA EN BANCO</t>
  </si>
  <si>
    <t>[TRA] PRUEBA EN BANCO - VACIADO DE ACEITE Y DESMONTAJE</t>
  </si>
  <si>
    <t>[TRA] INFORME TÉCNICO - INFORME TÉCNICO DE PRUEBAS</t>
  </si>
  <si>
    <t>[TRA] DESARME - DESARME Y EVALUACION DE TRANSM</t>
  </si>
  <si>
    <t>[TRA] DESARME - ALMACENAJE DE PARTES Y PIEZAS</t>
  </si>
  <si>
    <t>ACEVEDO VALENZUELA CARLOS</t>
  </si>
  <si>
    <t>[TRA] DESARME - DESARME ACOPLE FLEXIBLE</t>
  </si>
  <si>
    <t>[TRA] CONTROL DIMENSIONAL - EVALUACIÓN Y LIMPIEZA DE PIEZA</t>
  </si>
  <si>
    <t>[TRA] DESARME - ALMACENAJE DE PARTES</t>
  </si>
  <si>
    <t>OT: 26104</t>
  </si>
  <si>
    <t>HR N° 1</t>
  </si>
  <si>
    <t>ITEM N° 1</t>
  </si>
  <si>
    <t>ITEM N° 2</t>
  </si>
  <si>
    <t>OT: 26649</t>
  </si>
  <si>
    <t>ITEM N° 3</t>
  </si>
  <si>
    <t>ITEM N° 4</t>
  </si>
  <si>
    <t>OT: 26659</t>
  </si>
  <si>
    <t>ITEM N° 5</t>
  </si>
  <si>
    <t>OT: 26678</t>
  </si>
  <si>
    <t>OT: 26686</t>
  </si>
  <si>
    <t>OT: 26701</t>
  </si>
  <si>
    <t>OT: 26714</t>
  </si>
  <si>
    <t>DIURNA</t>
  </si>
  <si>
    <t>1:00Hrs.</t>
  </si>
  <si>
    <t>1:15Hrs.</t>
  </si>
  <si>
    <t>3:30Hrs.</t>
  </si>
  <si>
    <t>6:00Hrs.</t>
  </si>
  <si>
    <t>2:00Hrs.</t>
  </si>
  <si>
    <t>6:15Hrs.</t>
  </si>
  <si>
    <t>4:00Hrs.</t>
  </si>
  <si>
    <t>00:30Hrs.</t>
  </si>
  <si>
    <t>4:30Hrs.</t>
  </si>
  <si>
    <t>5:00Hrs.</t>
  </si>
  <si>
    <t>EXTRA GENERAL</t>
  </si>
  <si>
    <t>1:30Hrs.</t>
  </si>
  <si>
    <t>7:00Hrs.</t>
  </si>
  <si>
    <t>05:00Hrs.</t>
  </si>
  <si>
    <t>01:00Hrs.</t>
  </si>
  <si>
    <t>00:00Hrs.</t>
  </si>
  <si>
    <t>04:00Hrs.</t>
  </si>
  <si>
    <t>FINALIZADA</t>
  </si>
  <si>
    <t>EN ESPERA</t>
  </si>
  <si>
    <t>EN PROCESO</t>
  </si>
  <si>
    <t>Estado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</si>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</sst>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TOT:&quot;\ [hh]:mm\ &quot;Hrs.&quot;"/>
    <numFmt numFmtId="165" formatCode="&quot;TOTAL:&quot;\ [hh]:mm"/>
    <numFmt numFmtId="166" formatCode="&quot;EST:&quot;\ [hh]:mm"/>
    <numFmt numFmtId="167" formatCode="&quot;EST:&quot;\ [hh]:mm\ &quot;Hrs.&quot;"/>
  </numFmts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0" xfId="0" applyNumberFormat="1" applyFont="1" applyFill="1" applyAlignment="1">
      <alignment horizontal="left" vertical="center"/>
    </xf>
    <xf numFmtId="165" fontId="2" fillId="2" borderId="0" xfId="0" applyNumberFormat="1" applyFont="1" applyFill="1" applyAlignment="1">
      <alignment horizontal="left" vertical="center"/>
    </xf>
    <xf numFmtId="167" fontId="3" fillId="3" borderId="0" xfId="0" applyNumberFormat="1" applyFont="1" applyFill="1" applyAlignment="1">
      <alignment horizontal="left" vertical="center"/>
    </xf>
    <xf numFmtId="166" fontId="2" fillId="2" borderId="0" xfId="0" applyNumberFormat="1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9" fontId="1" fillId="0" borderId="0" xfId="1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C7CE"/>
      <color rgb="FFC6EFCE"/>
      <color rgb="FFFFAFAF"/>
      <color rgb="FFABF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71"/>
  <sheetViews>
    <sheetView tabSelected="1" zoomScale="130" zoomScaleNormal="130" workbookViewId="0">
      <selection activeCell="F19" sqref="F19"/>
    </sheetView>
  </sheetViews>
  <sheetFormatPr baseColWidth="10" defaultRowHeight="11.25" x14ac:dyDescent="0.25"/>
  <cols>
    <col min="1" max="1" width="7.7109375" style="1" bestFit="1" customWidth="1"/>
    <col min="2" max="2" width="5.85546875" style="1" bestFit="1" customWidth="1"/>
    <col min="3" max="3" width="8.7109375" style="1" bestFit="1" customWidth="1"/>
    <col min="4" max="4" width="43.42578125" style="2" bestFit="1" customWidth="1"/>
    <col min="5" max="5" width="11.140625" style="15" bestFit="1" customWidth="1"/>
    <col min="6" max="6" width="11.7109375" style="2" bestFit="1" customWidth="1"/>
    <col min="7" max="7" width="9" style="2" bestFit="1" customWidth="1"/>
    <col min="8" max="8" width="4.7109375" style="16" bestFit="1" customWidth="1"/>
    <col min="9" max="16384" width="11.42578125" style="2"/>
  </cols>
  <sheetData>
    <row r="2" spans="1:8" x14ac:dyDescent="0.25">
      <c r="A2" s="17" t="s">
        <v>31</v>
      </c>
      <c r="B2" s="17"/>
      <c r="C2" s="17"/>
      <c r="D2" s="17"/>
      <c r="E2" s="14">
        <f>E3+E5</f>
        <v>0.58333333333333337</v>
      </c>
      <c r="F2" s="12">
        <f>F3+F5</f>
        <v>0.48958333333333337</v>
      </c>
      <c r="G2" s="10" t="s">
        <v>65</v>
      </c>
      <c r="H2" s="16">
        <f>(E3*H3+E5*H5)/E2</f>
        <v>1</v>
      </c>
    </row>
    <row r="3" spans="1:8" hidden="1" x14ac:dyDescent="0.25">
      <c r="A3" s="18" t="s">
        <v>32</v>
      </c>
      <c r="B3" s="18"/>
      <c r="C3" s="6" t="s">
        <v>33</v>
      </c>
      <c r="D3" s="5" t="s">
        <v>0</v>
      </c>
      <c r="E3" s="13">
        <v>8.3333333333333329E-2</v>
      </c>
      <c r="F3" s="11">
        <v>4.1666666666666664E-2</v>
      </c>
      <c r="G3" s="8" t="s">
        <v>62</v>
      </c>
      <c r="H3" s="16">
        <f>IF(G3="FINALIZADA",1,IF(F3&gt;=E3,0.99,F3/E3))</f>
        <v>1</v>
      </c>
    </row>
    <row r="4" spans="1:8" hidden="1" x14ac:dyDescent="0.25">
      <c r="C4" s="3">
        <v>42661</v>
      </c>
      <c r="D4" s="2" t="s">
        <v>1</v>
      </c>
      <c r="E4" s="15" t="s">
        <v>44</v>
      </c>
      <c r="F4" s="2" t="s">
        <v>45</v>
      </c>
      <c r="G4" s="4"/>
    </row>
    <row r="5" spans="1:8" hidden="1" x14ac:dyDescent="0.25">
      <c r="A5" s="18" t="s">
        <v>32</v>
      </c>
      <c r="B5" s="18"/>
      <c r="C5" s="6" t="s">
        <v>34</v>
      </c>
      <c r="D5" s="5" t="s">
        <v>2</v>
      </c>
      <c r="E5" s="13">
        <v>0.5</v>
      </c>
      <c r="F5" s="11">
        <v>0.44791666666666669</v>
      </c>
      <c r="G5" s="8" t="s">
        <v>62</v>
      </c>
      <c r="H5" s="16">
        <f>IF(G5="FINALIZADA",1,F5/E5)</f>
        <v>1</v>
      </c>
    </row>
    <row r="6" spans="1:8" hidden="1" x14ac:dyDescent="0.25">
      <c r="C6" s="3">
        <v>42662</v>
      </c>
      <c r="D6" s="2" t="s">
        <v>3</v>
      </c>
      <c r="E6" s="15" t="s">
        <v>44</v>
      </c>
      <c r="F6" s="2" t="s">
        <v>46</v>
      </c>
      <c r="G6" s="4"/>
    </row>
    <row r="7" spans="1:8" hidden="1" x14ac:dyDescent="0.25">
      <c r="C7" s="3">
        <v>42661</v>
      </c>
      <c r="D7" s="2" t="s">
        <v>1</v>
      </c>
      <c r="E7" s="15" t="s">
        <v>44</v>
      </c>
      <c r="F7" s="2" t="s">
        <v>47</v>
      </c>
      <c r="G7" s="4"/>
    </row>
    <row r="8" spans="1:8" hidden="1" x14ac:dyDescent="0.25">
      <c r="C8" s="3">
        <v>42662</v>
      </c>
      <c r="D8" s="2" t="s">
        <v>1</v>
      </c>
      <c r="E8" s="15" t="s">
        <v>44</v>
      </c>
      <c r="F8" s="2" t="s">
        <v>48</v>
      </c>
      <c r="G8" s="4"/>
    </row>
    <row r="9" spans="1:8" x14ac:dyDescent="0.25">
      <c r="A9" s="17" t="s">
        <v>35</v>
      </c>
      <c r="B9" s="17"/>
      <c r="C9" s="17"/>
      <c r="D9" s="17"/>
      <c r="E9" s="14">
        <f>E10+E12+E15+E17</f>
        <v>0.70833333333333326</v>
      </c>
      <c r="F9" s="12">
        <f>F10+F12+F15+F17</f>
        <v>0.5625</v>
      </c>
      <c r="G9" s="10" t="s">
        <v>65</v>
      </c>
      <c r="H9" s="16">
        <f>(E10*H10+E12*H12+E15*H15+E17*H17)/E9</f>
        <v>1</v>
      </c>
    </row>
    <row r="10" spans="1:8" hidden="1" x14ac:dyDescent="0.25">
      <c r="A10" s="18" t="s">
        <v>32</v>
      </c>
      <c r="B10" s="18"/>
      <c r="C10" s="7" t="s">
        <v>33</v>
      </c>
      <c r="D10" s="5" t="s">
        <v>4</v>
      </c>
      <c r="E10" s="13">
        <v>0.16666666666666666</v>
      </c>
      <c r="F10" s="11">
        <v>0</v>
      </c>
      <c r="G10" s="8" t="s">
        <v>62</v>
      </c>
      <c r="H10" s="16">
        <f>IF(G10="FINALIZADA",1,IF(F10&gt;=E10,0.99,F10/E10))</f>
        <v>1</v>
      </c>
    </row>
    <row r="11" spans="1:8" hidden="1" x14ac:dyDescent="0.25">
      <c r="C11" s="1" t="s">
        <v>6</v>
      </c>
      <c r="D11" s="2" t="s">
        <v>7</v>
      </c>
      <c r="G11" s="4"/>
    </row>
    <row r="12" spans="1:8" hidden="1" x14ac:dyDescent="0.25">
      <c r="A12" s="18" t="s">
        <v>32</v>
      </c>
      <c r="B12" s="18"/>
      <c r="C12" s="7" t="s">
        <v>34</v>
      </c>
      <c r="D12" s="5" t="s">
        <v>5</v>
      </c>
      <c r="E12" s="13">
        <v>0.33333333333333331</v>
      </c>
      <c r="F12" s="11">
        <v>0.34375</v>
      </c>
      <c r="G12" s="8" t="s">
        <v>62</v>
      </c>
      <c r="H12" s="16">
        <f>IF(G12="FINALIZADA",1,IF(F12&gt;=E12,0.99,F12/E12))</f>
        <v>1</v>
      </c>
    </row>
    <row r="13" spans="1:8" hidden="1" x14ac:dyDescent="0.25">
      <c r="C13" s="3">
        <v>42661</v>
      </c>
      <c r="D13" s="2" t="s">
        <v>8</v>
      </c>
      <c r="E13" s="15" t="s">
        <v>44</v>
      </c>
      <c r="F13" s="2" t="s">
        <v>49</v>
      </c>
      <c r="G13" s="4"/>
    </row>
    <row r="14" spans="1:8" hidden="1" x14ac:dyDescent="0.25">
      <c r="C14" s="3">
        <v>42662</v>
      </c>
      <c r="D14" s="2" t="s">
        <v>8</v>
      </c>
      <c r="E14" s="15" t="s">
        <v>44</v>
      </c>
      <c r="F14" s="2" t="s">
        <v>50</v>
      </c>
      <c r="G14" s="4"/>
    </row>
    <row r="15" spans="1:8" hidden="1" x14ac:dyDescent="0.25">
      <c r="A15" s="18" t="s">
        <v>32</v>
      </c>
      <c r="B15" s="18"/>
      <c r="C15" s="7" t="s">
        <v>36</v>
      </c>
      <c r="D15" s="5" t="s">
        <v>9</v>
      </c>
      <c r="E15" s="13">
        <v>0.16666666666666666</v>
      </c>
      <c r="F15" s="11">
        <v>0.16666666666666666</v>
      </c>
      <c r="G15" s="8" t="s">
        <v>62</v>
      </c>
      <c r="H15" s="16">
        <f>IF(G15="FINALIZADA",1,IF(F15&gt;=E15,0.99,F15/E15))</f>
        <v>1</v>
      </c>
    </row>
    <row r="16" spans="1:8" hidden="1" x14ac:dyDescent="0.25">
      <c r="C16" s="3">
        <v>42663</v>
      </c>
      <c r="D16" s="2" t="s">
        <v>8</v>
      </c>
      <c r="E16" s="15" t="s">
        <v>44</v>
      </c>
      <c r="F16" s="2" t="s">
        <v>51</v>
      </c>
      <c r="G16" s="4"/>
    </row>
    <row r="17" spans="1:8" hidden="1" x14ac:dyDescent="0.25">
      <c r="A17" s="18" t="s">
        <v>32</v>
      </c>
      <c r="B17" s="18"/>
      <c r="C17" s="6" t="s">
        <v>37</v>
      </c>
      <c r="D17" s="5" t="s">
        <v>10</v>
      </c>
      <c r="E17" s="13">
        <v>4.1666666666666664E-2</v>
      </c>
      <c r="F17" s="11">
        <v>5.2083333333333336E-2</v>
      </c>
      <c r="G17" s="8" t="s">
        <v>62</v>
      </c>
      <c r="H17" s="16">
        <f>IF(G17="FINALIZADA",1,IF(F17&gt;=E17,0.99,F17/E17))</f>
        <v>1</v>
      </c>
    </row>
    <row r="18" spans="1:8" hidden="1" x14ac:dyDescent="0.25">
      <c r="C18" s="3">
        <v>42663</v>
      </c>
      <c r="D18" s="2" t="s">
        <v>8</v>
      </c>
      <c r="E18" s="15" t="s">
        <v>44</v>
      </c>
      <c r="F18" s="2" t="s">
        <v>46</v>
      </c>
      <c r="G18" s="4"/>
    </row>
    <row r="19" spans="1:8" x14ac:dyDescent="0.25">
      <c r="A19" s="17" t="s">
        <v>38</v>
      </c>
      <c r="B19" s="17"/>
      <c r="C19" s="17"/>
      <c r="D19" s="17"/>
      <c r="E19" s="14">
        <f>E20+E24+E27+E29</f>
        <v>1.0416666666666665</v>
      </c>
      <c r="F19" s="12">
        <f>F20+F22+F24+F27+F29</f>
        <v>0.60416666666666663</v>
      </c>
      <c r="G19" s="10" t="s">
        <v>65</v>
      </c>
      <c r="H19" s="16">
        <f>(E20*H20+E22*H22+E24*H24+E27*H27+E29*H29)/E19</f>
        <v>0.57840000000000003</v>
      </c>
    </row>
    <row r="20" spans="1:8" hidden="1" x14ac:dyDescent="0.25">
      <c r="A20" s="18" t="s">
        <v>32</v>
      </c>
      <c r="B20" s="18"/>
      <c r="C20" s="6" t="s">
        <v>33</v>
      </c>
      <c r="D20" s="5" t="s">
        <v>11</v>
      </c>
      <c r="E20" s="13">
        <v>0.33333333333333331</v>
      </c>
      <c r="F20" s="11">
        <v>0</v>
      </c>
      <c r="G20" s="8" t="s">
        <v>63</v>
      </c>
      <c r="H20" s="16">
        <f>IF(G20="FINALIZADA",1,IF(F20&gt;=E20,0.99,F20/E20))</f>
        <v>0</v>
      </c>
    </row>
    <row r="21" spans="1:8" hidden="1" x14ac:dyDescent="0.25">
      <c r="C21" s="1" t="s">
        <v>6</v>
      </c>
      <c r="D21" s="2" t="s">
        <v>7</v>
      </c>
      <c r="G21" s="4"/>
    </row>
    <row r="22" spans="1:8" hidden="1" x14ac:dyDescent="0.25">
      <c r="A22" s="18" t="s">
        <v>32</v>
      </c>
      <c r="B22" s="18"/>
      <c r="C22" s="6" t="s">
        <v>34</v>
      </c>
      <c r="D22" s="5" t="s">
        <v>12</v>
      </c>
      <c r="E22" s="13">
        <v>3.125E-2</v>
      </c>
      <c r="F22" s="11">
        <v>2.0833333333333332E-2</v>
      </c>
      <c r="G22" s="8" t="s">
        <v>64</v>
      </c>
      <c r="H22" s="16">
        <f>IF(G22="FINALIZADA",1,IF(F22&gt;=E22,0.99,F22/E22))</f>
        <v>0.66666666666666663</v>
      </c>
    </row>
    <row r="23" spans="1:8" hidden="1" x14ac:dyDescent="0.25">
      <c r="C23" s="3">
        <v>42663</v>
      </c>
      <c r="D23" s="2" t="s">
        <v>1</v>
      </c>
      <c r="E23" s="15" t="s">
        <v>44</v>
      </c>
      <c r="F23" s="2" t="s">
        <v>52</v>
      </c>
      <c r="G23" s="4"/>
    </row>
    <row r="24" spans="1:8" hidden="1" x14ac:dyDescent="0.25">
      <c r="A24" s="18" t="s">
        <v>32</v>
      </c>
      <c r="B24" s="18"/>
      <c r="C24" s="6" t="s">
        <v>36</v>
      </c>
      <c r="D24" s="5" t="s">
        <v>13</v>
      </c>
      <c r="E24" s="13">
        <v>0.5</v>
      </c>
      <c r="F24" s="11">
        <v>0.375</v>
      </c>
      <c r="G24" s="8" t="s">
        <v>64</v>
      </c>
      <c r="H24" s="16">
        <f>IF(G24="FINALIZADA",1,IF(F24&gt;=E24,0.99,F24/E24))</f>
        <v>0.75</v>
      </c>
    </row>
    <row r="25" spans="1:8" hidden="1" x14ac:dyDescent="0.25">
      <c r="C25" s="3">
        <v>42663</v>
      </c>
      <c r="D25" s="2" t="s">
        <v>15</v>
      </c>
      <c r="E25" s="15" t="s">
        <v>44</v>
      </c>
      <c r="F25" s="2" t="s">
        <v>53</v>
      </c>
      <c r="G25" s="4"/>
    </row>
    <row r="26" spans="1:8" hidden="1" x14ac:dyDescent="0.25">
      <c r="C26" s="3">
        <v>42663</v>
      </c>
      <c r="D26" s="2" t="s">
        <v>1</v>
      </c>
      <c r="E26" s="15" t="s">
        <v>44</v>
      </c>
      <c r="F26" s="2" t="s">
        <v>53</v>
      </c>
      <c r="G26" s="4"/>
    </row>
    <row r="27" spans="1:8" hidden="1" x14ac:dyDescent="0.25">
      <c r="A27" s="18" t="s">
        <v>32</v>
      </c>
      <c r="B27" s="18"/>
      <c r="C27" s="6" t="s">
        <v>37</v>
      </c>
      <c r="D27" s="5" t="s">
        <v>14</v>
      </c>
      <c r="E27" s="13">
        <v>0.16666666666666666</v>
      </c>
      <c r="F27" s="11">
        <v>0.16666666666666666</v>
      </c>
      <c r="G27" s="8" t="s">
        <v>64</v>
      </c>
      <c r="H27" s="16">
        <f>IF(G27="FINALIZADA",1,IF(F27&gt;=E27,0.99,F27/E27))</f>
        <v>0.99</v>
      </c>
    </row>
    <row r="28" spans="1:8" hidden="1" x14ac:dyDescent="0.25">
      <c r="C28" s="3">
        <v>42664</v>
      </c>
      <c r="D28" s="2" t="s">
        <v>1</v>
      </c>
      <c r="E28" s="15" t="s">
        <v>44</v>
      </c>
      <c r="F28" s="2" t="s">
        <v>51</v>
      </c>
      <c r="G28" s="9"/>
    </row>
    <row r="29" spans="1:8" hidden="1" x14ac:dyDescent="0.25">
      <c r="A29" s="18" t="s">
        <v>32</v>
      </c>
      <c r="B29" s="18"/>
      <c r="C29" s="6" t="s">
        <v>39</v>
      </c>
      <c r="D29" s="5" t="s">
        <v>16</v>
      </c>
      <c r="E29" s="13">
        <v>4.1666666666666664E-2</v>
      </c>
      <c r="F29" s="11">
        <v>4.1666666666666664E-2</v>
      </c>
      <c r="G29" s="8" t="s">
        <v>62</v>
      </c>
      <c r="H29" s="16">
        <f>IF(G29="FINALIZADA",1,IF(F29&gt;=E29,0.99,F29/E29))</f>
        <v>1</v>
      </c>
    </row>
    <row r="30" spans="1:8" hidden="1" x14ac:dyDescent="0.25">
      <c r="C30" s="3">
        <v>42664</v>
      </c>
      <c r="D30" s="2" t="s">
        <v>1</v>
      </c>
      <c r="E30" s="15" t="s">
        <v>44</v>
      </c>
      <c r="F30" s="2" t="s">
        <v>45</v>
      </c>
      <c r="G30" s="4"/>
    </row>
    <row r="31" spans="1:8" x14ac:dyDescent="0.25">
      <c r="A31" s="17" t="s">
        <v>40</v>
      </c>
      <c r="B31" s="17"/>
      <c r="C31" s="17"/>
      <c r="D31" s="17"/>
      <c r="E31" s="14">
        <f>E32+E36+E38</f>
        <v>0.375</v>
      </c>
      <c r="F31" s="12">
        <f>F32+F36+F38</f>
        <v>0.625</v>
      </c>
      <c r="G31" s="10" t="s">
        <v>65</v>
      </c>
      <c r="H31" s="16">
        <f>(E32*H32+E36*H36+E38*H38)/E31</f>
        <v>0.43999999999999995</v>
      </c>
    </row>
    <row r="32" spans="1:8" hidden="1" x14ac:dyDescent="0.25">
      <c r="A32" s="18" t="s">
        <v>32</v>
      </c>
      <c r="B32" s="18"/>
      <c r="C32" s="6" t="s">
        <v>33</v>
      </c>
      <c r="D32" s="5" t="s">
        <v>17</v>
      </c>
      <c r="E32" s="13">
        <v>0.16666666666666666</v>
      </c>
      <c r="F32" s="11">
        <v>0.625</v>
      </c>
      <c r="G32" s="8" t="s">
        <v>64</v>
      </c>
      <c r="H32" s="16">
        <f>IF(G32="FINALIZADA",1,IF(F32&gt;=E32,0.99,F32/E32))</f>
        <v>0.99</v>
      </c>
    </row>
    <row r="33" spans="1:8" hidden="1" x14ac:dyDescent="0.25">
      <c r="C33" s="3">
        <v>42663</v>
      </c>
      <c r="D33" s="2" t="s">
        <v>15</v>
      </c>
      <c r="E33" s="15" t="s">
        <v>44</v>
      </c>
      <c r="F33" s="2" t="s">
        <v>51</v>
      </c>
      <c r="G33" s="4"/>
    </row>
    <row r="34" spans="1:8" hidden="1" x14ac:dyDescent="0.25">
      <c r="C34" s="3">
        <v>42662</v>
      </c>
      <c r="D34" s="2" t="s">
        <v>20</v>
      </c>
      <c r="E34" s="15" t="s">
        <v>44</v>
      </c>
      <c r="F34" s="2" t="s">
        <v>54</v>
      </c>
      <c r="G34" s="4"/>
    </row>
    <row r="35" spans="1:8" hidden="1" x14ac:dyDescent="0.25">
      <c r="C35" s="3">
        <v>42663</v>
      </c>
      <c r="D35" s="2" t="s">
        <v>20</v>
      </c>
      <c r="E35" s="15" t="s">
        <v>44</v>
      </c>
      <c r="F35" s="2" t="s">
        <v>48</v>
      </c>
      <c r="G35" s="4"/>
    </row>
    <row r="36" spans="1:8" hidden="1" x14ac:dyDescent="0.25">
      <c r="A36" s="18" t="s">
        <v>32</v>
      </c>
      <c r="B36" s="18"/>
      <c r="C36" s="6" t="s">
        <v>34</v>
      </c>
      <c r="D36" s="5" t="s">
        <v>18</v>
      </c>
      <c r="E36" s="13">
        <v>4.1666666666666664E-2</v>
      </c>
      <c r="F36" s="11">
        <v>0</v>
      </c>
      <c r="G36" s="8" t="s">
        <v>63</v>
      </c>
      <c r="H36" s="16">
        <f>IF(G36="FINALIZADA",1,IF(F36&gt;=E36,0.99,F36/E36))</f>
        <v>0</v>
      </c>
    </row>
    <row r="37" spans="1:8" hidden="1" x14ac:dyDescent="0.25">
      <c r="C37" s="1" t="s">
        <v>6</v>
      </c>
      <c r="D37" s="2" t="s">
        <v>7</v>
      </c>
      <c r="G37" s="4"/>
    </row>
    <row r="38" spans="1:8" hidden="1" x14ac:dyDescent="0.25">
      <c r="A38" s="18" t="s">
        <v>32</v>
      </c>
      <c r="B38" s="18"/>
      <c r="C38" s="6" t="s">
        <v>36</v>
      </c>
      <c r="D38" s="5" t="s">
        <v>19</v>
      </c>
      <c r="E38" s="13">
        <v>0.16666666666666666</v>
      </c>
      <c r="F38" s="11">
        <v>0</v>
      </c>
      <c r="G38" s="8" t="s">
        <v>63</v>
      </c>
      <c r="H38" s="16">
        <f>IF(G38="FINALIZADA",1,IF(F38&gt;=E38,0.99,F38/E38))</f>
        <v>0</v>
      </c>
    </row>
    <row r="39" spans="1:8" hidden="1" x14ac:dyDescent="0.25">
      <c r="C39" s="1" t="s">
        <v>6</v>
      </c>
      <c r="D39" s="2" t="s">
        <v>7</v>
      </c>
      <c r="G39" s="4"/>
    </row>
    <row r="40" spans="1:8" x14ac:dyDescent="0.25">
      <c r="A40" s="17" t="s">
        <v>41</v>
      </c>
      <c r="B40" s="17"/>
      <c r="C40" s="17"/>
      <c r="D40" s="17"/>
      <c r="E40" s="14">
        <f>E41+E44+E46+E48</f>
        <v>0.29166666666666663</v>
      </c>
      <c r="F40" s="12">
        <f>F41+F44+F46+F48</f>
        <v>0.125</v>
      </c>
      <c r="G40" s="10" t="s">
        <v>65</v>
      </c>
      <c r="H40" s="16">
        <f>(E41*H41+E44*H44+E46*H46+E48*H48)/E40</f>
        <v>0.14142857142857143</v>
      </c>
    </row>
    <row r="41" spans="1:8" hidden="1" x14ac:dyDescent="0.25">
      <c r="A41" s="18" t="s">
        <v>32</v>
      </c>
      <c r="B41" s="18"/>
      <c r="C41" s="6" t="s">
        <v>33</v>
      </c>
      <c r="D41" s="5" t="s">
        <v>21</v>
      </c>
      <c r="E41" s="13">
        <v>4.1666666666666664E-2</v>
      </c>
      <c r="F41" s="11">
        <v>0.125</v>
      </c>
      <c r="G41" s="8" t="s">
        <v>64</v>
      </c>
      <c r="H41" s="16">
        <f>IF(G41="FINALIZADA",1,IF(F41&gt;=E41,0.99,F41/E41))</f>
        <v>0.99</v>
      </c>
    </row>
    <row r="42" spans="1:8" hidden="1" x14ac:dyDescent="0.25">
      <c r="C42" s="3">
        <v>42663</v>
      </c>
      <c r="D42" s="2" t="s">
        <v>15</v>
      </c>
      <c r="E42" s="15" t="s">
        <v>55</v>
      </c>
      <c r="F42" s="2" t="s">
        <v>56</v>
      </c>
      <c r="G42" s="4"/>
    </row>
    <row r="43" spans="1:8" hidden="1" x14ac:dyDescent="0.25">
      <c r="C43" s="3">
        <v>42663</v>
      </c>
      <c r="D43" s="2" t="s">
        <v>20</v>
      </c>
      <c r="E43" s="15" t="s">
        <v>55</v>
      </c>
      <c r="F43" s="2" t="s">
        <v>56</v>
      </c>
      <c r="G43" s="4"/>
    </row>
    <row r="44" spans="1:8" hidden="1" x14ac:dyDescent="0.25">
      <c r="A44" s="18" t="s">
        <v>32</v>
      </c>
      <c r="B44" s="18"/>
      <c r="C44" s="6" t="s">
        <v>34</v>
      </c>
      <c r="D44" s="5" t="s">
        <v>22</v>
      </c>
      <c r="E44" s="13">
        <v>0.16666666666666666</v>
      </c>
      <c r="F44" s="11">
        <v>0</v>
      </c>
      <c r="G44" s="8" t="s">
        <v>63</v>
      </c>
      <c r="H44" s="16">
        <f>IF(G44="FINALIZADA",1,IF(F44&gt;=E44,0.99,F44/E44))</f>
        <v>0</v>
      </c>
    </row>
    <row r="45" spans="1:8" hidden="1" x14ac:dyDescent="0.25">
      <c r="C45" s="1" t="s">
        <v>6</v>
      </c>
      <c r="D45" s="2" t="s">
        <v>7</v>
      </c>
      <c r="G45" s="4"/>
    </row>
    <row r="46" spans="1:8" hidden="1" x14ac:dyDescent="0.25">
      <c r="A46" s="18" t="s">
        <v>32</v>
      </c>
      <c r="B46" s="18"/>
      <c r="C46" s="6" t="s">
        <v>36</v>
      </c>
      <c r="D46" s="5" t="s">
        <v>23</v>
      </c>
      <c r="E46" s="13">
        <v>4.1666666666666664E-2</v>
      </c>
      <c r="F46" s="11">
        <v>0</v>
      </c>
      <c r="G46" s="8" t="s">
        <v>63</v>
      </c>
      <c r="H46" s="16">
        <f>IF(G46="FINALIZADA",1,IF(F46&gt;=E46,0.99,F46/E46))</f>
        <v>0</v>
      </c>
    </row>
    <row r="47" spans="1:8" hidden="1" x14ac:dyDescent="0.25">
      <c r="C47" s="1" t="s">
        <v>6</v>
      </c>
      <c r="D47" s="2" t="s">
        <v>7</v>
      </c>
      <c r="G47" s="4"/>
    </row>
    <row r="48" spans="1:8" hidden="1" x14ac:dyDescent="0.25">
      <c r="A48" s="18" t="s">
        <v>32</v>
      </c>
      <c r="B48" s="18"/>
      <c r="C48" s="6" t="s">
        <v>37</v>
      </c>
      <c r="D48" s="5" t="s">
        <v>24</v>
      </c>
      <c r="E48" s="13">
        <v>4.1666666666666664E-2</v>
      </c>
      <c r="F48" s="11">
        <v>0</v>
      </c>
      <c r="G48" s="8" t="s">
        <v>63</v>
      </c>
      <c r="H48" s="16">
        <f>IF(G48="FINALIZADA",1,IF(F48&gt;=E48,0.99,F48/E48))</f>
        <v>0</v>
      </c>
    </row>
    <row r="49" spans="1:8" hidden="1" x14ac:dyDescent="0.25">
      <c r="C49" s="1" t="s">
        <v>6</v>
      </c>
      <c r="D49" s="2" t="s">
        <v>7</v>
      </c>
      <c r="G49" s="4"/>
    </row>
    <row r="50" spans="1:8" x14ac:dyDescent="0.25">
      <c r="A50" s="17" t="s">
        <v>42</v>
      </c>
      <c r="B50" s="17"/>
      <c r="C50" s="17"/>
      <c r="D50" s="17"/>
      <c r="E50" s="14">
        <f>E51+E54+E60</f>
        <v>0.95833333333333326</v>
      </c>
      <c r="F50" s="12">
        <f>F51+F54+F60</f>
        <v>0.95833333333333326</v>
      </c>
      <c r="G50" s="10" t="s">
        <v>65</v>
      </c>
      <c r="H50" s="16">
        <f>(E51*H51+E54*H54+E60*H60)/E50</f>
        <v>0.95652173913043481</v>
      </c>
    </row>
    <row r="51" spans="1:8" hidden="1" x14ac:dyDescent="0.25">
      <c r="A51" s="18" t="s">
        <v>32</v>
      </c>
      <c r="B51" s="18"/>
      <c r="C51" s="6" t="s">
        <v>33</v>
      </c>
      <c r="D51" s="5" t="s">
        <v>25</v>
      </c>
      <c r="E51" s="13">
        <v>0.75</v>
      </c>
      <c r="F51" s="11">
        <v>0.5</v>
      </c>
      <c r="G51" s="8" t="s">
        <v>62</v>
      </c>
      <c r="H51" s="16">
        <f>IF(G51="FINALIZADA",1,IF(F51&gt;=E51,0.99,F51/E51))</f>
        <v>1</v>
      </c>
    </row>
    <row r="52" spans="1:8" hidden="1" x14ac:dyDescent="0.25">
      <c r="C52" s="3">
        <v>42668</v>
      </c>
      <c r="D52" s="2" t="s">
        <v>27</v>
      </c>
      <c r="E52" s="15" t="s">
        <v>44</v>
      </c>
      <c r="F52" s="2" t="s">
        <v>57</v>
      </c>
      <c r="G52" s="4"/>
    </row>
    <row r="53" spans="1:8" hidden="1" x14ac:dyDescent="0.25">
      <c r="C53" s="3">
        <v>42669</v>
      </c>
      <c r="D53" s="2" t="s">
        <v>27</v>
      </c>
      <c r="E53" s="15" t="s">
        <v>44</v>
      </c>
      <c r="F53" s="2" t="s">
        <v>58</v>
      </c>
      <c r="G53" s="4"/>
    </row>
    <row r="54" spans="1:8" hidden="1" x14ac:dyDescent="0.25">
      <c r="A54" s="18" t="s">
        <v>32</v>
      </c>
      <c r="B54" s="18"/>
      <c r="C54" s="6" t="s">
        <v>34</v>
      </c>
      <c r="D54" s="5" t="s">
        <v>14</v>
      </c>
      <c r="E54" s="13">
        <v>0.16666666666666666</v>
      </c>
      <c r="F54" s="11">
        <v>0.45833333333333331</v>
      </c>
      <c r="G54" s="8" t="s">
        <v>62</v>
      </c>
      <c r="H54" s="16">
        <f>IF(G54="FINALIZADA",1,IF(F54&gt;=E54,0.99,F54/E54))</f>
        <v>1</v>
      </c>
    </row>
    <row r="55" spans="1:8" hidden="1" x14ac:dyDescent="0.25">
      <c r="C55" s="3">
        <v>42669</v>
      </c>
      <c r="D55" s="2" t="s">
        <v>27</v>
      </c>
      <c r="E55" s="15" t="s">
        <v>44</v>
      </c>
      <c r="F55" s="2" t="s">
        <v>49</v>
      </c>
      <c r="G55" s="4"/>
    </row>
    <row r="56" spans="1:8" hidden="1" x14ac:dyDescent="0.25">
      <c r="C56" s="3">
        <v>42669</v>
      </c>
      <c r="D56" s="2" t="s">
        <v>27</v>
      </c>
      <c r="E56" s="15" t="s">
        <v>44</v>
      </c>
      <c r="F56" s="2" t="s">
        <v>59</v>
      </c>
      <c r="G56" s="4"/>
    </row>
    <row r="57" spans="1:8" hidden="1" x14ac:dyDescent="0.25">
      <c r="C57" s="3">
        <v>42670</v>
      </c>
      <c r="D57" s="2" t="s">
        <v>27</v>
      </c>
      <c r="E57" s="15" t="s">
        <v>44</v>
      </c>
      <c r="F57" s="2" t="s">
        <v>51</v>
      </c>
      <c r="G57" s="4"/>
    </row>
    <row r="58" spans="1:8" hidden="1" x14ac:dyDescent="0.25">
      <c r="C58" s="3">
        <v>42670</v>
      </c>
      <c r="D58" s="2" t="s">
        <v>27</v>
      </c>
      <c r="E58" s="15" t="s">
        <v>44</v>
      </c>
      <c r="F58" s="2" t="s">
        <v>60</v>
      </c>
      <c r="G58" s="4"/>
    </row>
    <row r="59" spans="1:8" hidden="1" x14ac:dyDescent="0.25">
      <c r="C59" s="3">
        <v>42670</v>
      </c>
      <c r="D59" s="2" t="s">
        <v>27</v>
      </c>
      <c r="E59" s="15" t="s">
        <v>44</v>
      </c>
      <c r="F59" s="2" t="s">
        <v>61</v>
      </c>
      <c r="G59" s="4"/>
    </row>
    <row r="60" spans="1:8" hidden="1" x14ac:dyDescent="0.25">
      <c r="A60" s="18" t="s">
        <v>32</v>
      </c>
      <c r="B60" s="18"/>
      <c r="C60" s="6" t="s">
        <v>36</v>
      </c>
      <c r="D60" s="5" t="s">
        <v>26</v>
      </c>
      <c r="E60" s="13">
        <v>4.1666666666666664E-2</v>
      </c>
      <c r="F60" s="11">
        <v>0</v>
      </c>
      <c r="G60" s="8" t="s">
        <v>63</v>
      </c>
      <c r="H60" s="16">
        <f>IF(G60="FINALIZADA",1,IF(F60&gt;=E60,0.99,F60/E60))</f>
        <v>0</v>
      </c>
    </row>
    <row r="61" spans="1:8" hidden="1" x14ac:dyDescent="0.25">
      <c r="C61" s="1" t="s">
        <v>6</v>
      </c>
      <c r="D61" s="2" t="s">
        <v>7</v>
      </c>
      <c r="G61" s="4"/>
    </row>
    <row r="62" spans="1:8" x14ac:dyDescent="0.25">
      <c r="A62" s="17" t="s">
        <v>43</v>
      </c>
      <c r="B62" s="17"/>
      <c r="C62" s="17"/>
      <c r="D62" s="17"/>
      <c r="E62" s="14">
        <f>E63+E65+E67+E69</f>
        <v>0.24999999999999997</v>
      </c>
      <c r="F62" s="12">
        <f>F63+F65+F67+F69</f>
        <v>8.3333333333333329E-2</v>
      </c>
      <c r="G62" s="10" t="s">
        <v>65</v>
      </c>
      <c r="H62" s="16">
        <f>(E63*H63+E65*H65+E67*H67+E69*H69)/E62</f>
        <v>0.16500000000000001</v>
      </c>
    </row>
    <row r="63" spans="1:8" hidden="1" x14ac:dyDescent="0.25">
      <c r="A63" s="18" t="s">
        <v>32</v>
      </c>
      <c r="B63" s="18"/>
      <c r="C63" s="6" t="s">
        <v>33</v>
      </c>
      <c r="D63" s="5" t="s">
        <v>28</v>
      </c>
      <c r="E63" s="13">
        <v>4.1666666666666664E-2</v>
      </c>
      <c r="F63" s="11">
        <v>8.3333333333333329E-2</v>
      </c>
      <c r="G63" s="8" t="s">
        <v>64</v>
      </c>
      <c r="H63" s="16">
        <f>IF(G63="FINALIZADA",1,IF(F63&gt;=E63,0.99,F63/E63))</f>
        <v>0.99</v>
      </c>
    </row>
    <row r="64" spans="1:8" hidden="1" x14ac:dyDescent="0.25">
      <c r="C64" s="3">
        <v>42668</v>
      </c>
      <c r="D64" s="2" t="s">
        <v>15</v>
      </c>
      <c r="E64" s="15" t="s">
        <v>44</v>
      </c>
      <c r="F64" s="2" t="s">
        <v>49</v>
      </c>
      <c r="G64" s="4"/>
    </row>
    <row r="65" spans="1:8" hidden="1" x14ac:dyDescent="0.25">
      <c r="A65" s="18" t="s">
        <v>32</v>
      </c>
      <c r="B65" s="18"/>
      <c r="C65" s="6" t="s">
        <v>34</v>
      </c>
      <c r="D65" s="5" t="s">
        <v>29</v>
      </c>
      <c r="E65" s="13">
        <v>4.1666666666666664E-2</v>
      </c>
      <c r="F65" s="11">
        <v>0</v>
      </c>
      <c r="G65" s="8" t="s">
        <v>63</v>
      </c>
      <c r="H65" s="16">
        <f>IF(G65="FINALIZADA",1,IF(F65&gt;=E65,0.99,F65/E65))</f>
        <v>0</v>
      </c>
    </row>
    <row r="66" spans="1:8" hidden="1" x14ac:dyDescent="0.25">
      <c r="C66" s="1" t="s">
        <v>6</v>
      </c>
      <c r="D66" s="2" t="s">
        <v>7</v>
      </c>
      <c r="G66" s="4"/>
    </row>
    <row r="67" spans="1:8" hidden="1" x14ac:dyDescent="0.25">
      <c r="A67" s="18" t="s">
        <v>32</v>
      </c>
      <c r="B67" s="18"/>
      <c r="C67" s="6" t="s">
        <v>36</v>
      </c>
      <c r="D67" s="5" t="s">
        <v>14</v>
      </c>
      <c r="E67" s="13">
        <v>0.125</v>
      </c>
      <c r="F67" s="11">
        <v>0</v>
      </c>
      <c r="G67" s="8" t="s">
        <v>63</v>
      </c>
      <c r="H67" s="16">
        <f>IF(G67="FINALIZADA",1,IF(F67&gt;=E67,0.99,F67/E67))</f>
        <v>0</v>
      </c>
    </row>
    <row r="68" spans="1:8" hidden="1" x14ac:dyDescent="0.25">
      <c r="C68" s="1" t="s">
        <v>6</v>
      </c>
      <c r="D68" s="2" t="s">
        <v>7</v>
      </c>
      <c r="G68" s="4"/>
    </row>
    <row r="69" spans="1:8" hidden="1" x14ac:dyDescent="0.25">
      <c r="A69" s="18" t="s">
        <v>32</v>
      </c>
      <c r="B69" s="18"/>
      <c r="C69" s="6" t="s">
        <v>37</v>
      </c>
      <c r="D69" s="5" t="s">
        <v>30</v>
      </c>
      <c r="E69" s="13">
        <v>4.1666666666666664E-2</v>
      </c>
      <c r="F69" s="11">
        <v>0</v>
      </c>
      <c r="G69" s="8" t="s">
        <v>63</v>
      </c>
      <c r="H69" s="16">
        <f>IF(G69="FINALIZADA",1,IF(F69&gt;=E69,0.99,F69/E69))</f>
        <v>0</v>
      </c>
    </row>
    <row r="70" spans="1:8" hidden="1" x14ac:dyDescent="0.25">
      <c r="C70" s="1" t="s">
        <v>6</v>
      </c>
      <c r="D70" s="2" t="s">
        <v>7</v>
      </c>
    </row>
    <row r="71" spans="1:8" x14ac:dyDescent="0.25">
      <c r="A71" s="17" t="s">
        <v>66</v>
      </c>
      <c r="B71" s="17"/>
      <c r="C71" s="17"/>
      <c r="D71" s="17"/>
      <c r="E71" s="14">
        <f>E62+E50+E40+E31+E19+E9+E2</f>
        <v>4.208333333333333</v>
      </c>
      <c r="F71" s="12">
        <f>F62+F50+F40+F31+F19+F9+F2</f>
        <v>3.4479166666666665</v>
      </c>
      <c r="G71" s="10"/>
    </row>
  </sheetData>
  <dataConsolidate/>
  <mergeCells count="33">
    <mergeCell ref="A3:B3"/>
    <mergeCell ref="A22:B22"/>
    <mergeCell ref="A17:B17"/>
    <mergeCell ref="A15:B15"/>
    <mergeCell ref="A12:B12"/>
    <mergeCell ref="A10:B10"/>
    <mergeCell ref="A5:B5"/>
    <mergeCell ref="A20:B20"/>
    <mergeCell ref="A2:D2"/>
    <mergeCell ref="A24:B24"/>
    <mergeCell ref="A69:B69"/>
    <mergeCell ref="A67:B67"/>
    <mergeCell ref="A65:B65"/>
    <mergeCell ref="A63:B63"/>
    <mergeCell ref="A60:B60"/>
    <mergeCell ref="A54:B54"/>
    <mergeCell ref="A36:B36"/>
    <mergeCell ref="A40:D40"/>
    <mergeCell ref="A50:D50"/>
    <mergeCell ref="A62:D62"/>
    <mergeCell ref="A51:B51"/>
    <mergeCell ref="A48:B48"/>
    <mergeCell ref="A32:B32"/>
    <mergeCell ref="A29:B29"/>
    <mergeCell ref="A71:D71"/>
    <mergeCell ref="A9:D9"/>
    <mergeCell ref="A19:D19"/>
    <mergeCell ref="A31:D31"/>
    <mergeCell ref="A46:B46"/>
    <mergeCell ref="A44:B44"/>
    <mergeCell ref="A41:B41"/>
    <mergeCell ref="A38:B38"/>
    <mergeCell ref="A27:B27"/>
  </mergeCells>
  <conditionalFormatting sqref="H72:H1048576 H1:H70">
    <cfRule type="colorScale" priority="2">
      <colorScale>
        <cfvo type="percent" val="0"/>
        <cfvo type="percent" val="100"/>
        <color rgb="FFFFC7CE"/>
        <color rgb="FFC6EFCE"/>
      </colorScale>
    </cfRule>
  </conditionalFormatting>
  <conditionalFormatting sqref="H71">
    <cfRule type="colorScale" priority="1">
      <colorScale>
        <cfvo type="percent" val="0"/>
        <cfvo type="percent" val="100"/>
        <color rgb="FFFFC7CE"/>
        <color rgb="FFC6EFCE"/>
      </colorScale>
    </cfRule>
  </conditionalFormatting>
  <pageMargins left="0.25" right="0.25" top="0.75" bottom="0.75" header="0.3" footer="0.3"/>
  <pageSetup paperSize="9" scale="9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Hoja4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Alvarez Rivera</dc:creator>
  <cp:lastModifiedBy>Gabriel Medina Aguilera</cp:lastModifiedBy>
  <cp:lastPrinted>2016-11-04T14:37:36Z</cp:lastPrinted>
  <dcterms:created xsi:type="dcterms:W3CDTF">2016-11-03T13:59:10Z</dcterms:created>
  <dcterms:modified xsi:type="dcterms:W3CDTF">2016-11-04T19:03:05Z</dcterms:modified>
</cp:coreProperties>
</file>