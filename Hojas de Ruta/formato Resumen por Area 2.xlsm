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gmedina\Documents\GitHub\Repositorio-Git\MD-PlanificacionProduccion\Hojas de Ruta\"/>
    </mc:Choice>
  </mc:AlternateContent>
  <bookViews>
    <workbookView xWindow="0" yWindow="0" windowWidth="24000" windowHeight="9885"/>
  </bookViews>
  <sheets>
    <sheet name="Hoja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08" i="1" l="1"/>
  <c r="H286" i="1"/>
  <c r="K308" i="1"/>
  <c r="I305" i="1"/>
  <c r="K305" i="1"/>
  <c r="I302" i="1"/>
  <c r="K302" i="1"/>
  <c r="I299" i="1"/>
  <c r="K299" i="1"/>
  <c r="I296" i="1"/>
  <c r="K296" i="1"/>
  <c r="I290" i="1"/>
  <c r="K290" i="1"/>
  <c r="I287" i="1"/>
  <c r="K287" i="1"/>
  <c r="K286" i="1" s="1"/>
  <c r="H285" i="1"/>
  <c r="I282" i="1"/>
  <c r="I278" i="1"/>
  <c r="H278" i="1"/>
  <c r="K282" i="1"/>
  <c r="I279" i="1"/>
  <c r="K279" i="1"/>
  <c r="I275" i="1"/>
  <c r="I274" i="1"/>
  <c r="H274" i="1"/>
  <c r="K275" i="1"/>
  <c r="K274" i="1" s="1"/>
  <c r="I271" i="1"/>
  <c r="I252" i="1"/>
  <c r="I251" i="1" s="1"/>
  <c r="H252" i="1"/>
  <c r="K271" i="1"/>
  <c r="I268" i="1"/>
  <c r="K268" i="1"/>
  <c r="I265" i="1"/>
  <c r="K265" i="1"/>
  <c r="I262" i="1"/>
  <c r="K262" i="1"/>
  <c r="I259" i="1"/>
  <c r="K259" i="1"/>
  <c r="I256" i="1"/>
  <c r="K256" i="1"/>
  <c r="I253" i="1"/>
  <c r="K253" i="1"/>
  <c r="I248" i="1"/>
  <c r="I244" i="1"/>
  <c r="H244" i="1"/>
  <c r="K248" i="1"/>
  <c r="I245" i="1"/>
  <c r="K245" i="1"/>
  <c r="K244" i="1" s="1"/>
  <c r="I241" i="1"/>
  <c r="I231" i="1"/>
  <c r="H231" i="1"/>
  <c r="K231" i="1"/>
  <c r="K241" i="1"/>
  <c r="I238" i="1"/>
  <c r="K238" i="1"/>
  <c r="I235" i="1"/>
  <c r="K235" i="1"/>
  <c r="I232" i="1"/>
  <c r="K232" i="1"/>
  <c r="I228" i="1"/>
  <c r="I218" i="1"/>
  <c r="H218" i="1"/>
  <c r="K228" i="1"/>
  <c r="I225" i="1"/>
  <c r="K225" i="1"/>
  <c r="I222" i="1"/>
  <c r="K222" i="1"/>
  <c r="I219" i="1"/>
  <c r="K219" i="1"/>
  <c r="I215" i="1"/>
  <c r="H195" i="1"/>
  <c r="K215" i="1"/>
  <c r="I212" i="1"/>
  <c r="K212" i="1"/>
  <c r="I209" i="1"/>
  <c r="K209" i="1"/>
  <c r="I206" i="1"/>
  <c r="K206" i="1"/>
  <c r="I201" i="1"/>
  <c r="K201" i="1"/>
  <c r="I196" i="1"/>
  <c r="K196" i="1"/>
  <c r="I191" i="1"/>
  <c r="H179" i="1"/>
  <c r="H178" i="1" s="1"/>
  <c r="K191" i="1"/>
  <c r="I184" i="1"/>
  <c r="K184" i="1"/>
  <c r="I180" i="1"/>
  <c r="I179" i="1" s="1"/>
  <c r="K180" i="1"/>
  <c r="I175" i="1"/>
  <c r="H155" i="1"/>
  <c r="K175" i="1"/>
  <c r="I172" i="1"/>
  <c r="K172" i="1"/>
  <c r="I169" i="1"/>
  <c r="K169" i="1"/>
  <c r="I166" i="1"/>
  <c r="K166" i="1"/>
  <c r="I162" i="1"/>
  <c r="K162" i="1" s="1"/>
  <c r="I159" i="1"/>
  <c r="K159" i="1"/>
  <c r="I156" i="1"/>
  <c r="I155" i="1" s="1"/>
  <c r="I152" i="1"/>
  <c r="I145" i="1"/>
  <c r="H145" i="1"/>
  <c r="K152" i="1"/>
  <c r="I149" i="1"/>
  <c r="K149" i="1"/>
  <c r="I146" i="1"/>
  <c r="K146" i="1"/>
  <c r="K145" i="1" s="1"/>
  <c r="I142" i="1"/>
  <c r="I135" i="1"/>
  <c r="H135" i="1"/>
  <c r="H134" i="1" s="1"/>
  <c r="K142" i="1"/>
  <c r="I139" i="1"/>
  <c r="K139" i="1"/>
  <c r="I136" i="1"/>
  <c r="K136" i="1"/>
  <c r="K135" i="1" s="1"/>
  <c r="I131" i="1"/>
  <c r="H124" i="1"/>
  <c r="H123" i="1" s="1"/>
  <c r="K131" i="1"/>
  <c r="I128" i="1"/>
  <c r="K128" i="1"/>
  <c r="I125" i="1"/>
  <c r="K125" i="1"/>
  <c r="K124" i="1" s="1"/>
  <c r="I120" i="1"/>
  <c r="I119" i="1" s="1"/>
  <c r="I118" i="1" s="1"/>
  <c r="H119" i="1"/>
  <c r="K120" i="1"/>
  <c r="K119" i="1" s="1"/>
  <c r="H118" i="1"/>
  <c r="I115" i="1"/>
  <c r="I114" i="1" s="1"/>
  <c r="I113" i="1" s="1"/>
  <c r="H114" i="1"/>
  <c r="H113" i="1" s="1"/>
  <c r="K115" i="1"/>
  <c r="K114" i="1" s="1"/>
  <c r="I106" i="1"/>
  <c r="I105" i="1" s="1"/>
  <c r="I104" i="1" s="1"/>
  <c r="H105" i="1"/>
  <c r="K106" i="1"/>
  <c r="K105" i="1" s="1"/>
  <c r="K104" i="1" s="1"/>
  <c r="L104" i="1" s="1"/>
  <c r="H104" i="1"/>
  <c r="I100" i="1"/>
  <c r="H93" i="1"/>
  <c r="K100" i="1"/>
  <c r="I97" i="1"/>
  <c r="K97" i="1"/>
  <c r="I94" i="1"/>
  <c r="I93" i="1" s="1"/>
  <c r="I92" i="1" s="1"/>
  <c r="K94" i="1"/>
  <c r="K93" i="1" s="1"/>
  <c r="H92" i="1"/>
  <c r="I89" i="1"/>
  <c r="H80" i="1"/>
  <c r="K89" i="1"/>
  <c r="I84" i="1"/>
  <c r="K84" i="1"/>
  <c r="I81" i="1"/>
  <c r="I80" i="1" s="1"/>
  <c r="H79" i="1"/>
  <c r="K81" i="1"/>
  <c r="K80" i="1" s="1"/>
  <c r="I76" i="1"/>
  <c r="H66" i="1"/>
  <c r="K76" i="1"/>
  <c r="I73" i="1"/>
  <c r="K73" i="1"/>
  <c r="I70" i="1"/>
  <c r="K70" i="1"/>
  <c r="I67" i="1"/>
  <c r="I66" i="1" s="1"/>
  <c r="I65" i="1" s="1"/>
  <c r="K67" i="1"/>
  <c r="H65" i="1"/>
  <c r="I62" i="1"/>
  <c r="H48" i="1"/>
  <c r="K62" i="1"/>
  <c r="I59" i="1"/>
  <c r="K59" i="1"/>
  <c r="I55" i="1"/>
  <c r="K55" i="1"/>
  <c r="I52" i="1"/>
  <c r="K52" i="1"/>
  <c r="I49" i="1"/>
  <c r="K49" i="1"/>
  <c r="K48" i="1" s="1"/>
  <c r="H47" i="1"/>
  <c r="I44" i="1"/>
  <c r="H33" i="1"/>
  <c r="K44" i="1"/>
  <c r="I41" i="1"/>
  <c r="K41" i="1"/>
  <c r="I37" i="1"/>
  <c r="I33" i="1" s="1"/>
  <c r="I32" i="1" s="1"/>
  <c r="K37" i="1"/>
  <c r="I34" i="1"/>
  <c r="K34" i="1"/>
  <c r="K33" i="1" s="1"/>
  <c r="H32" i="1"/>
  <c r="I29" i="1"/>
  <c r="H11" i="1"/>
  <c r="K29" i="1"/>
  <c r="I22" i="1"/>
  <c r="K22" i="1" s="1"/>
  <c r="I15" i="1"/>
  <c r="I12" i="1"/>
  <c r="K12" i="1"/>
  <c r="I8" i="1"/>
  <c r="I7" i="1"/>
  <c r="H7" i="1"/>
  <c r="K8" i="1"/>
  <c r="I4" i="1"/>
  <c r="I3" i="1"/>
  <c r="H3" i="1"/>
  <c r="K4" i="1"/>
  <c r="I2" i="1" l="1"/>
  <c r="I11" i="1"/>
  <c r="H2" i="1"/>
  <c r="K218" i="1"/>
  <c r="K195" i="1"/>
  <c r="I195" i="1"/>
  <c r="I178" i="1" s="1"/>
  <c r="K3" i="1"/>
  <c r="K7" i="1"/>
  <c r="K278" i="1"/>
  <c r="H251" i="1"/>
  <c r="I286" i="1"/>
  <c r="I285" i="1" s="1"/>
  <c r="K285" i="1"/>
  <c r="L285" i="1" s="1"/>
  <c r="K252" i="1"/>
  <c r="K179" i="1"/>
  <c r="K178" i="1" s="1"/>
  <c r="I134" i="1"/>
  <c r="K156" i="1"/>
  <c r="K155" i="1" s="1"/>
  <c r="K134" i="1" s="1"/>
  <c r="L134" i="1" s="1"/>
  <c r="I124" i="1"/>
  <c r="I123" i="1" s="1"/>
  <c r="K123" i="1"/>
  <c r="L123" i="1" s="1"/>
  <c r="K118" i="1"/>
  <c r="L118" i="1" s="1"/>
  <c r="K113" i="1"/>
  <c r="L113" i="1" s="1"/>
  <c r="K92" i="1"/>
  <c r="L92" i="1" s="1"/>
  <c r="K79" i="1"/>
  <c r="L79" i="1" s="1"/>
  <c r="I79" i="1"/>
  <c r="K66" i="1"/>
  <c r="K65" i="1"/>
  <c r="L65" i="1" s="1"/>
  <c r="I48" i="1"/>
  <c r="I47" i="1"/>
  <c r="K47" i="1"/>
  <c r="L47" i="1" s="1"/>
  <c r="K32" i="1"/>
  <c r="L32" i="1" s="1"/>
  <c r="K15" i="1"/>
  <c r="K11" i="1" s="1"/>
  <c r="K2" i="1" l="1"/>
  <c r="L2" i="1" s="1"/>
  <c r="K251" i="1"/>
  <c r="L251" i="1" s="1"/>
  <c r="L178" i="1"/>
</calcChain>
</file>

<file path=xl/sharedStrings.xml><?xml version="1.0" encoding="utf-8"?>
<sst xmlns="http://schemas.openxmlformats.org/spreadsheetml/2006/main" count="1017" uniqueCount="181">
  <si>
    <t>HORAS ESTIMADAS</t>
  </si>
  <si>
    <t>HORAS REALES</t>
  </si>
  <si>
    <t>ESTADO ACTUAL</t>
  </si>
  <si>
    <t>FINALIZADA</t>
  </si>
  <si>
    <t>FECHA MOVIMIENTO</t>
  </si>
  <si>
    <t>MECÁNICO</t>
  </si>
  <si>
    <t>TIPO CARGO</t>
  </si>
  <si>
    <t>PÉREZ MANSILLA ROBINSON</t>
  </si>
  <si>
    <t>DIURNA</t>
  </si>
  <si>
    <t>JARA GUERRERO MARIO</t>
  </si>
  <si>
    <t>EN ESPERA</t>
  </si>
  <si>
    <t>EN PROCESO</t>
  </si>
  <si>
    <t>CUBILLOS AGUILA CARLOS</t>
  </si>
  <si>
    <t>PÉREZ MUÑOZ RODRIGO</t>
  </si>
  <si>
    <t>EXTRA GENERAL</t>
  </si>
  <si>
    <t>ACEVEDO VALENZUELA CARLOS</t>
  </si>
  <si>
    <t>ITEM</t>
  </si>
  <si>
    <t>OT</t>
  </si>
  <si>
    <t>DETALLE TAREA</t>
  </si>
  <si>
    <t>% AVANCE</t>
  </si>
  <si>
    <t>FECHA ENTREGA</t>
  </si>
  <si>
    <t>HORAS RESTANTES</t>
  </si>
  <si>
    <t>22952 / 3</t>
  </si>
  <si>
    <t>N° ITEM: 2</t>
  </si>
  <si>
    <t>ORDEN DE TRABAJO PARA EL CONTROL DE HORAS DE TALLE</t>
  </si>
  <si>
    <t>ORDEN Y ASEO - TALLER</t>
  </si>
  <si>
    <t>22952 / 1</t>
  </si>
  <si>
    <t>ESPARRAGOS</t>
  </si>
  <si>
    <t>ABIERTA</t>
  </si>
  <si>
    <t>N° 1</t>
  </si>
  <si>
    <t>TAREA SIN REGISTRAR - ITEM NULO</t>
  </si>
  <si>
    <t>SIN ESTADO - ITEM NULO</t>
  </si>
  <si>
    <t>HORAS DECLARADAS</t>
  </si>
  <si>
    <t># AÚN SIN FECHA #</t>
  </si>
  <si>
    <t># AÚN SIN MECÁNICO #</t>
  </si>
  <si>
    <t># AÚN SIN TIPO CARGO #</t>
  </si>
  <si>
    <t># AÚN SIN HORAS #</t>
  </si>
  <si>
    <t>22952 / 2</t>
  </si>
  <si>
    <t xml:space="preserve">BOTADOR </t>
  </si>
  <si>
    <t>TALLER</t>
  </si>
  <si>
    <t>CHARLA DE SEGURIDAD - CHARLAS</t>
  </si>
  <si>
    <t>N° 2</t>
  </si>
  <si>
    <t>ORDEN Y ASEO - ORDEN TALLER</t>
  </si>
  <si>
    <t>N° 3</t>
  </si>
  <si>
    <t>ESPERA EQUIPOS, PUENTE - TIEMPOS MUERTOS</t>
  </si>
  <si>
    <t>N° 4</t>
  </si>
  <si>
    <t>PERMISOS - PERMISOS</t>
  </si>
  <si>
    <t xml:space="preserve">EJE TRASERO SPICER EQUIPO  MOD 112/138-001  SERIE </t>
  </si>
  <si>
    <t>EN ESPERA DE CONFIRMACIÓN</t>
  </si>
  <si>
    <t>26649 / 1</t>
  </si>
  <si>
    <t>EJE DIFERENCIAL 112/138</t>
  </si>
  <si>
    <t>LIMPIEZA MECANICA - LAVADO DE EJE DIFERECIAL</t>
  </si>
  <si>
    <t>DESARME - DESARME Y EVALUACION DE PIEZAS</t>
  </si>
  <si>
    <t>INFORME TÉCNICO - CONFECCION DE INFORME TECNICO</t>
  </si>
  <si>
    <t>DESARME - ALMACENAMIENTO DE PARTES</t>
  </si>
  <si>
    <t>EJE DE JUMBO DANA SPICER 37R NP 197759    REPARACI</t>
  </si>
  <si>
    <t>26659 / 1</t>
  </si>
  <si>
    <t>EJE 37R NP 197759</t>
  </si>
  <si>
    <t>LIMPIEZA MECANICA - LIMPIEZA EXTERIOR</t>
  </si>
  <si>
    <t>AJUSTAR TRANSMISIÓN - DRENAJE ACEITE</t>
  </si>
  <si>
    <t>DESARME - DESARME, LIMPIEZA Y EVALUACION</t>
  </si>
  <si>
    <t>INFORME TÉCNICO - GENERAR INFORME TÉCNICO</t>
  </si>
  <si>
    <t>N° 5</t>
  </si>
  <si>
    <t>DESARME - ALMACENAJE DE PIEZAS</t>
  </si>
  <si>
    <t>ACOPLE FLEXIBLE GEISLINGER BC41/5/50N/1 PC8000 RCI</t>
  </si>
  <si>
    <t>EN PRESUPUESTO</t>
  </si>
  <si>
    <t>26714 / 1</t>
  </si>
  <si>
    <t>ACOPLE FLEXIBLE BC 41/5/50N/1 PC8000 RCI 10057 10138533/1/11</t>
  </si>
  <si>
    <t>DESARME - DESARME ACOPLE FLEXIBLE</t>
  </si>
  <si>
    <t>CONTROL DIMENSIONAL - EVALUACIÓN Y LIMPIEZA DE PIEZA</t>
  </si>
  <si>
    <t>DESARME - ALMACENAJE DE PARTES</t>
  </si>
  <si>
    <t>TRANSMISION 36000 EQUIPOS TEREX N°15    COMPONENTE</t>
  </si>
  <si>
    <t>26746 / 1</t>
  </si>
  <si>
    <t>TRANSMISION 36000</t>
  </si>
  <si>
    <t>LIMPIEZA MECANICA - LIMPIEZA DE TRANSMISION</t>
  </si>
  <si>
    <t>DESARME - DESARME Y EVALUACION</t>
  </si>
  <si>
    <t xml:space="preserve">INFORME TÉCNICO - INFORME TÉCNICO Y EMBALAJE DE </t>
  </si>
  <si>
    <t xml:space="preserve">CAJA DE TRANSFERENCIA DE EQUIPO SCOOP ST 1030 #34 </t>
  </si>
  <si>
    <t>26760 / 1</t>
  </si>
  <si>
    <t>CAJA DE TRANSFERENCIA UPBOX 16"</t>
  </si>
  <si>
    <t>DESARME - DESARME DE TRANFERENCIA</t>
  </si>
  <si>
    <t>INFORME TÉCNICO - EVALUACION E INFORME TÉCNICO</t>
  </si>
  <si>
    <t>26822 / 1</t>
  </si>
  <si>
    <t>N° ITEM: 1</t>
  </si>
  <si>
    <t>DESMONTAJE Y MONTAJE DE TRANSMISION TE17</t>
  </si>
  <si>
    <t>ARMADO - TRANSMISION TE17</t>
  </si>
  <si>
    <t>TRANSMISION TE17</t>
  </si>
  <si>
    <t>ARMADO - DESMONTAJE Y MONTAJE DE TRANSM</t>
  </si>
  <si>
    <t>26826 / 1</t>
  </si>
  <si>
    <t>REDUCTOR  BONFIGLIOLI CON MOTOR  MODELO 705T2S006D</t>
  </si>
  <si>
    <t>DESARME - REDUCTOR BONFIGLIOLI 705T2S006D35T</t>
  </si>
  <si>
    <t>REDUCTOR BONFIGLIOLI 705T2S006D35T</t>
  </si>
  <si>
    <t>NOTIFICADA</t>
  </si>
  <si>
    <t>26827 / 1</t>
  </si>
  <si>
    <t>REDUCTOR BONFIGLIOLI CON MOTOR  MODELO: 705T2S006D</t>
  </si>
  <si>
    <t>26828 / 1</t>
  </si>
  <si>
    <t xml:space="preserve">CONJUNTO DIFERENCIAL KESSLER USADO  SERIE 438006  </t>
  </si>
  <si>
    <t>DESARME - DIFERENCIAL KESSLER</t>
  </si>
  <si>
    <t>DIFERENCIAL KESSLER</t>
  </si>
  <si>
    <t>DESARME - DESARME Y EVALUACION NUCLEO DI</t>
  </si>
  <si>
    <t>INFORME TÉCNICO - GENERAR DETALLE REPARACION E I</t>
  </si>
  <si>
    <t>DESARME - ALMACENAMIENTO DE PARTES|</t>
  </si>
  <si>
    <t>26617 / 3</t>
  </si>
  <si>
    <t>N° ITEM: 3</t>
  </si>
  <si>
    <t xml:space="preserve">CAJA TRANSMISION R32421-647  </t>
  </si>
  <si>
    <t>ARMADO - TRANSMISION R32421-647</t>
  </si>
  <si>
    <t>26617 / 1</t>
  </si>
  <si>
    <t>TAPA LOW</t>
  </si>
  <si>
    <t>FABRICACIÓN DE CAMISA - MECANIZAR PISTA DE SELLO</t>
  </si>
  <si>
    <t>FABRICACIÓN DE CAMISA - FABRICAR CAMISA 25.35MM 4340</t>
  </si>
  <si>
    <t>FABRICACIÓN DE CAMISA - MECANIZAR MEDIDA FINAL 25.35 +</t>
  </si>
  <si>
    <t>26617 / 2</t>
  </si>
  <si>
    <t>CARCAZA PRINCIPAL</t>
  </si>
  <si>
    <t>MECANIZAR DIAMETRO INTERIOR - MECANIZAR PISTA DE RODAMIENTO</t>
  </si>
  <si>
    <t>FABRICACIÓN DE CAMISA - FABRICAR CAMISA 100 +0.02  MAT</t>
  </si>
  <si>
    <t>FABRICACIÓN DE CAMISA - MECANIZAR A MEDIDA FINAL 100+0</t>
  </si>
  <si>
    <t>TRANSMISION R32421-647</t>
  </si>
  <si>
    <t>ARMADO - PREPARACION DE PARTES</t>
  </si>
  <si>
    <t>ARMADO - ARMAR</t>
  </si>
  <si>
    <t>PRUEBA EN BANCO - MONTAJE Y LLENADO DE ACEITE</t>
  </si>
  <si>
    <t>PRUEBA EN BANCO - PRUEBA DE FUNCIONAMIENTO</t>
  </si>
  <si>
    <t>N° 6</t>
  </si>
  <si>
    <t>PRUEBA EN BANCO - DRENAJE ACEITE, DESMONTAJE E I</t>
  </si>
  <si>
    <t>N° 7</t>
  </si>
  <si>
    <t>ARMADO - PINTURA Y EMBALAJE</t>
  </si>
  <si>
    <t>26701 / 2</t>
  </si>
  <si>
    <t>TRANSMISION DANA MODELO R33425-3 N/S 424253 BGL TR</t>
  </si>
  <si>
    <t>ARMADO - TRANSMISION R33425-3</t>
  </si>
  <si>
    <t>26701 / 1</t>
  </si>
  <si>
    <t>TRANSMISION DANA MODELO R33425-3 N/S 424253</t>
  </si>
  <si>
    <t>DESARME - DESARME Y EVALUACION DE TRANSM</t>
  </si>
  <si>
    <t>DESARME - ALMACENAJE DE PARTES Y PIEZAS</t>
  </si>
  <si>
    <t>TRANSMISION R33425-3</t>
  </si>
  <si>
    <t>LIMPIEZA MECANICA - REVISAR REPUESTOS Y PREPARAR P</t>
  </si>
  <si>
    <t>ARMADO - ARMAR TRANSMISION</t>
  </si>
  <si>
    <t>PRUEBA EN BANCO - DESMONTAJE E INFORME TÉCNICO</t>
  </si>
  <si>
    <t>26701 / 3</t>
  </si>
  <si>
    <t>TAPA DE LOW</t>
  </si>
  <si>
    <t xml:space="preserve">MECANIZAR DIAMETRO INTERIOR - MECANIZAR DIAMETRO INTERIOR.  </t>
  </si>
  <si>
    <t>FABRICACIÓN DE CAMISA - FABRICAR CAMISA CON INTERFEREN</t>
  </si>
  <si>
    <t xml:space="preserve">ARMADO - INSTALAR CAMISA </t>
  </si>
  <si>
    <t>MECANIZAR DIAMETRO INTERIOR - DAR MEDIDA FINAL 40,16 + 0,02M</t>
  </si>
  <si>
    <t>26701 / 4</t>
  </si>
  <si>
    <t>CARCAZA DELANTERA</t>
  </si>
  <si>
    <t>FABRICACIÓN DE CAMISA - FABRICAR CAMISA SEGÚN PLANO</t>
  </si>
  <si>
    <t xml:space="preserve">MECANIZAR DIAMETRO INTERIOR - PRE MECANIZADO PARA ENCAMISAR </t>
  </si>
  <si>
    <t>ARMADO - MONTAR CAMISA</t>
  </si>
  <si>
    <t>MECANIZAR DIAMETRO INTERIOR - DAR MEDIDA FINAL SEGÚN PLANO</t>
  </si>
  <si>
    <t>26701 / 5</t>
  </si>
  <si>
    <t>FLANGE</t>
  </si>
  <si>
    <t>METALIZADOS - REBAJAR PISTA DE RETEN Y METAL</t>
  </si>
  <si>
    <t>MECANIZAR DIAMETRO EXTERIOR - RECTIFICAR A DIAMETRO FINAL 70</t>
  </si>
  <si>
    <t>26739 / 1</t>
  </si>
  <si>
    <t>EJE DIFERENCIAL TRASERODNA 53R EQUIPO ST-14 (NPART</t>
  </si>
  <si>
    <t>LIMPIEZA MECANICA - EJE DIFERENCIAL 53R</t>
  </si>
  <si>
    <t>EJE DIFERENCIAL 53R</t>
  </si>
  <si>
    <t>LIMPIEZA MECANICA - PEPARACION DE PARTES Y REVISIO</t>
  </si>
  <si>
    <t>ARMADO - ARMADO DE EJE</t>
  </si>
  <si>
    <t xml:space="preserve">PRUEBA EN BANCO - MONTAJE EN BANCO Y LLENADO DE </t>
  </si>
  <si>
    <t>PRUEBA EN BANCO - PRUEBA FUNCIONAMIENTO</t>
  </si>
  <si>
    <t xml:space="preserve">PRUEBA EN BANCO - DRENAJE ACEITE Y DESMONTAR DE </t>
  </si>
  <si>
    <t>PRUEBA EN BANCO - INFORME DE PRUEBA</t>
  </si>
  <si>
    <t>LIMPIEZA MECANICA - PINTURA Y EMBALAJE</t>
  </si>
  <si>
    <t>26739 / 2</t>
  </si>
  <si>
    <t>CAMISAS</t>
  </si>
  <si>
    <t xml:space="preserve">LEVANTAMIENTO DE PLANOS - REALIZAR PLANO DE 2 CAMISAS Y </t>
  </si>
  <si>
    <t>26739 / 3</t>
  </si>
  <si>
    <t>CARCASA DIFERENCIAL Y CAMISA</t>
  </si>
  <si>
    <t>MECANIZAR DIAMETRO EXTERIOR - MECANIZAR DIAMETRO EXTERIOR DE</t>
  </si>
  <si>
    <t>FABRICACIÓN DE CAMISA - FABRICAR 2 CAMISAS SEGUN PLANO</t>
  </si>
  <si>
    <t>26771 / 1</t>
  </si>
  <si>
    <t>TRANSMISION MODELO T17</t>
  </si>
  <si>
    <t>DESARME - TRANSMISION TE17</t>
  </si>
  <si>
    <t>LIMPIEZA MECANICA - LIMPIEZA DE PARTES Y PEZAS</t>
  </si>
  <si>
    <t>ARMADO - ARMADO DE TRANSMISION</t>
  </si>
  <si>
    <t>PRUEBA EN BANCO - PRUEBAS DE FUNCIONAMIENTO</t>
  </si>
  <si>
    <t>PRUEBA EN BANCO - DESMONTAJE Y DRENADO DE ACEITE</t>
  </si>
  <si>
    <t>LIMPIEZA MECANICA - LIMPIEZA PINTURA Y ALMACENAJE</t>
  </si>
  <si>
    <t>HR</t>
  </si>
  <si>
    <t>COMPONENTE/ELEMENTO</t>
  </si>
  <si>
    <t>FECHA DE MOVIMIENTO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</si>
</sst>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hh]:mm"/>
    <numFmt numFmtId="165" formatCode="&quot;TAREA: &quot;@"/>
  </numFmts>
  <fonts count="6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4" tint="0.79995117038483843"/>
        <bgColor indexed="64"/>
      </patternFill>
    </fill>
  </fills>
  <borders count="6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2" fillId="2" borderId="1" xfId="0" applyFont="1" applyFill="1" applyBorder="1" applyAlignment="1">
      <alignment vertical="center"/>
    </xf>
    <xf numFmtId="0" fontId="1" fillId="0" borderId="0" xfId="0" applyFont="1" applyBorder="1"/>
    <xf numFmtId="0" fontId="3" fillId="0" borderId="0" xfId="0" applyFont="1" applyBorder="1"/>
    <xf numFmtId="164" fontId="1" fillId="0" borderId="0" xfId="0" applyNumberFormat="1" applyFont="1" applyBorder="1"/>
    <xf numFmtId="14" fontId="2" fillId="2" borderId="1" xfId="0" applyNumberFormat="1" applyFont="1" applyFill="1" applyBorder="1" applyAlignment="1">
      <alignment vertical="center"/>
    </xf>
    <xf numFmtId="0" fontId="2" fillId="2" borderId="3" xfId="0" applyFont="1" applyFill="1" applyBorder="1" applyAlignment="1">
      <alignment vertical="center"/>
    </xf>
    <xf numFmtId="0" fontId="3" fillId="5" borderId="1" xfId="0" applyFont="1" applyFill="1" applyBorder="1" applyAlignment="1">
      <alignment vertical="center"/>
    </xf>
    <xf numFmtId="0" fontId="3" fillId="5" borderId="3" xfId="0" applyFont="1" applyFill="1" applyBorder="1" applyAlignment="1">
      <alignment vertical="center"/>
    </xf>
    <xf numFmtId="0" fontId="3" fillId="6" borderId="3" xfId="0" applyFont="1" applyFill="1" applyBorder="1" applyAlignment="1">
      <alignment vertical="center"/>
    </xf>
    <xf numFmtId="0" fontId="3" fillId="6" borderId="4" xfId="0" applyFont="1" applyFill="1" applyBorder="1" applyAlignment="1">
      <alignment vertical="center"/>
    </xf>
    <xf numFmtId="165" fontId="3" fillId="6" borderId="4" xfId="0" applyNumberFormat="1" applyFont="1" applyFill="1" applyBorder="1" applyAlignment="1">
      <alignment vertical="center"/>
    </xf>
    <xf numFmtId="164" fontId="3" fillId="6" borderId="4" xfId="0" applyNumberFormat="1" applyFont="1" applyFill="1" applyBorder="1" applyAlignment="1">
      <alignment vertical="center"/>
    </xf>
    <xf numFmtId="0" fontId="2" fillId="3" borderId="0" xfId="0" applyFont="1" applyFill="1" applyBorder="1" applyAlignment="1">
      <alignment horizontal="center" vertical="center" wrapText="1"/>
    </xf>
    <xf numFmtId="164" fontId="2" fillId="3" borderId="0" xfId="0" applyNumberFormat="1" applyFont="1" applyFill="1" applyBorder="1" applyAlignment="1">
      <alignment horizontal="center" vertical="center" wrapText="1"/>
    </xf>
    <xf numFmtId="0" fontId="4" fillId="4" borderId="0" xfId="0" applyFont="1" applyFill="1" applyBorder="1"/>
    <xf numFmtId="0" fontId="1" fillId="4" borderId="0" xfId="0" applyFont="1" applyFill="1" applyBorder="1"/>
    <xf numFmtId="10" fontId="2" fillId="3" borderId="0" xfId="0" applyNumberFormat="1" applyFont="1" applyFill="1" applyBorder="1" applyAlignment="1">
      <alignment horizontal="center" vertical="center" wrapText="1"/>
    </xf>
    <xf numFmtId="10" fontId="1" fillId="0" borderId="0" xfId="0" applyNumberFormat="1" applyFont="1" applyBorder="1"/>
    <xf numFmtId="0" fontId="1" fillId="0" borderId="0" xfId="0" applyFont="1" applyAlignment="1">
      <alignment vertical="center"/>
    </xf>
    <xf numFmtId="14" fontId="1" fillId="0" borderId="0" xfId="0" applyNumberFormat="1" applyFont="1" applyAlignment="1">
      <alignment vertical="center"/>
    </xf>
    <xf numFmtId="164" fontId="1" fillId="0" borderId="0" xfId="0" applyNumberFormat="1" applyFont="1" applyAlignment="1">
      <alignment vertical="center"/>
    </xf>
    <xf numFmtId="10" fontId="1" fillId="0" borderId="0" xfId="0" applyNumberFormat="1" applyFont="1" applyAlignment="1">
      <alignment vertical="center"/>
    </xf>
    <xf numFmtId="164" fontId="2" fillId="2" borderId="1" xfId="0" applyNumberFormat="1" applyFont="1" applyFill="1" applyBorder="1" applyAlignment="1">
      <alignment vertical="center"/>
    </xf>
    <xf numFmtId="10" fontId="2" fillId="2" borderId="1" xfId="0" applyNumberFormat="1" applyFont="1" applyFill="1" applyBorder="1" applyAlignment="1">
      <alignment vertical="center"/>
    </xf>
    <xf numFmtId="164" fontId="2" fillId="2" borderId="4" xfId="0" applyNumberFormat="1" applyFont="1" applyFill="1" applyBorder="1" applyAlignment="1">
      <alignment vertical="center"/>
    </xf>
    <xf numFmtId="0" fontId="2" fillId="2" borderId="5" xfId="0" applyFont="1" applyFill="1" applyBorder="1" applyAlignment="1">
      <alignment vertical="center"/>
    </xf>
    <xf numFmtId="164" fontId="3" fillId="5" borderId="1" xfId="0" applyNumberFormat="1" applyFont="1" applyFill="1" applyBorder="1" applyAlignment="1">
      <alignment vertical="center"/>
    </xf>
    <xf numFmtId="10" fontId="3" fillId="5" borderId="2" xfId="0" applyNumberFormat="1" applyFont="1" applyFill="1" applyBorder="1" applyAlignment="1">
      <alignment vertical="center"/>
    </xf>
    <xf numFmtId="10" fontId="3" fillId="6" borderId="5" xfId="0" applyNumberFormat="1" applyFont="1" applyFill="1" applyBorder="1" applyAlignment="1">
      <alignment vertical="center"/>
    </xf>
    <xf numFmtId="0" fontId="3" fillId="0" borderId="0" xfId="0" applyFont="1" applyAlignment="1">
      <alignment vertical="center"/>
    </xf>
    <xf numFmtId="164" fontId="3" fillId="0" borderId="0" xfId="0" applyNumberFormat="1" applyFont="1" applyAlignment="1">
      <alignment vertical="center"/>
    </xf>
  </cellXfs>
  <cellStyles count="1">
    <cellStyle name="Normal" xfId="0" builtinId="0"/>
  </cellStyles>
  <dxfs count="52"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0</xdr:row>
          <xdr:rowOff>28575</xdr:rowOff>
        </xdr:from>
        <xdr:to>
          <xdr:col>14</xdr:col>
          <xdr:colOff>209550</xdr:colOff>
          <xdr:row>0</xdr:row>
          <xdr:rowOff>266700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</a:rPr>
                <a:t>Configura Hoja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N310"/>
  <sheetViews>
    <sheetView tabSelected="1" zoomScaleNormal="100" workbookViewId="0">
      <selection activeCell="G2" sqref="G2"/>
    </sheetView>
  </sheetViews>
  <sheetFormatPr baseColWidth="10" defaultRowHeight="11.25" x14ac:dyDescent="0.2"/>
  <cols>
    <col min="1" max="1" width="3.140625" style="2" customWidth="1"/>
    <col min="2" max="2" width="7.7109375" style="2" bestFit="1" customWidth="1"/>
    <col min="3" max="3" width="11" style="2" bestFit="1" customWidth="1"/>
    <col min="4" max="4" width="6" style="2" bestFit="1" customWidth="1"/>
    <col min="5" max="5" width="11.7109375" style="2" customWidth="1"/>
    <col min="6" max="6" width="14.7109375" style="2" bestFit="1" customWidth="1"/>
    <col min="7" max="7" width="56.42578125" style="2" customWidth="1"/>
    <col min="8" max="8" width="13" style="4" bestFit="1" customWidth="1"/>
    <col min="9" max="9" width="7.85546875" style="4" customWidth="1"/>
    <col min="10" max="10" width="18.5703125" style="2" bestFit="1" customWidth="1"/>
    <col min="11" max="11" width="8" style="18" bestFit="1" customWidth="1"/>
    <col min="12" max="12" width="8.28515625" style="4" customWidth="1"/>
    <col min="13" max="13" width="8.85546875" style="2" customWidth="1"/>
    <col min="14" max="16384" width="11.42578125" style="2"/>
  </cols>
  <sheetData>
    <row r="1" spans="2:14" s="15" customFormat="1" ht="37.5" customHeight="1" x14ac:dyDescent="0.2">
      <c r="B1" s="13" t="s">
        <v>17</v>
      </c>
      <c r="C1" s="13" t="s">
        <v>178</v>
      </c>
      <c r="D1" s="13" t="s">
        <v>16</v>
      </c>
      <c r="E1" s="13" t="s">
        <v>179</v>
      </c>
      <c r="F1" s="13" t="s">
        <v>180</v>
      </c>
      <c r="G1" s="13" t="s">
        <v>18</v>
      </c>
      <c r="H1" s="14" t="s">
        <v>0</v>
      </c>
      <c r="I1" s="14" t="s">
        <v>1</v>
      </c>
      <c r="J1" s="13" t="s">
        <v>2</v>
      </c>
      <c r="K1" s="17" t="s">
        <v>19</v>
      </c>
      <c r="L1" s="14" t="s">
        <v>21</v>
      </c>
      <c r="M1" s="13" t="s">
        <v>20</v>
      </c>
    </row>
    <row r="2" spans="2:14" s="16" customFormat="1" x14ac:dyDescent="0.2">
      <c r="B2" s="6">
        <v>22952</v>
      </c>
      <c r="C2" s="1" t="s">
        <v>22</v>
      </c>
      <c r="D2" s="1" t="s">
        <v>23</v>
      </c>
      <c r="E2" s="1" t="s">
        <v>24</v>
      </c>
      <c r="F2" s="5">
        <v>42695</v>
      </c>
      <c r="G2" s="1" t="s">
        <v>25</v>
      </c>
      <c r="H2" s="23">
        <f>0+H3+H7+H11</f>
        <v>3.6875000000000004</v>
      </c>
      <c r="I2" s="23">
        <f>0+I3+I7+I11</f>
        <v>1.8958333333333335</v>
      </c>
      <c r="J2" s="1" t="s">
        <v>11</v>
      </c>
      <c r="K2" s="24">
        <f>(0+H3*K3+H7*K7+H11*K11)/IF(H2=0,1,H2)</f>
        <v>0.47175141242937851</v>
      </c>
      <c r="L2" s="25">
        <f>(1-K2)*H2</f>
        <v>1.9479166666666672</v>
      </c>
      <c r="M2" s="26"/>
    </row>
    <row r="3" spans="2:14" ht="11.25" hidden="1" customHeight="1" x14ac:dyDescent="0.2">
      <c r="B3" s="19"/>
      <c r="C3" s="8" t="s">
        <v>26</v>
      </c>
      <c r="D3" s="7"/>
      <c r="E3" s="7" t="s">
        <v>27</v>
      </c>
      <c r="F3" s="7"/>
      <c r="G3" s="7"/>
      <c r="H3" s="27">
        <f>0+H4</f>
        <v>0</v>
      </c>
      <c r="I3" s="27">
        <f>0+I4</f>
        <v>0</v>
      </c>
      <c r="J3" s="7" t="s">
        <v>28</v>
      </c>
      <c r="K3" s="28">
        <f>(0+H4*K4)/IF(H3=0,1,H3)</f>
        <v>0</v>
      </c>
      <c r="L3" s="21"/>
      <c r="M3" s="19"/>
    </row>
    <row r="4" spans="2:14" ht="11.25" hidden="1" customHeight="1" x14ac:dyDescent="0.2">
      <c r="B4" s="19"/>
      <c r="C4" s="19"/>
      <c r="D4" s="9" t="s">
        <v>29</v>
      </c>
      <c r="E4" s="10"/>
      <c r="F4" s="10"/>
      <c r="G4" s="11" t="s">
        <v>30</v>
      </c>
      <c r="H4" s="12">
        <v>0</v>
      </c>
      <c r="I4" s="12">
        <f>0</f>
        <v>0</v>
      </c>
      <c r="J4" s="10" t="s">
        <v>31</v>
      </c>
      <c r="K4" s="29">
        <f>IF(J4="FINALIZADA",1,IF(H4&lt;I4,0.99,I4/IF(H4=0,1,H4)))</f>
        <v>0</v>
      </c>
      <c r="L4" s="21"/>
      <c r="M4" s="19"/>
    </row>
    <row r="5" spans="2:14" ht="11.25" hidden="1" customHeight="1" x14ac:dyDescent="0.2">
      <c r="B5" s="19"/>
      <c r="C5" s="19"/>
      <c r="D5" s="19"/>
      <c r="E5" s="19"/>
      <c r="F5" s="30" t="s">
        <v>4</v>
      </c>
      <c r="G5" s="30" t="s">
        <v>5</v>
      </c>
      <c r="H5" s="31" t="s">
        <v>6</v>
      </c>
      <c r="I5" s="31" t="s">
        <v>32</v>
      </c>
      <c r="J5" s="19"/>
      <c r="K5" s="22"/>
      <c r="L5" s="21"/>
      <c r="M5" s="19"/>
    </row>
    <row r="6" spans="2:14" ht="11.25" hidden="1" customHeight="1" x14ac:dyDescent="0.2">
      <c r="B6" s="19"/>
      <c r="C6" s="19"/>
      <c r="D6" s="19"/>
      <c r="E6" s="19"/>
      <c r="F6" s="19" t="s">
        <v>33</v>
      </c>
      <c r="G6" s="19" t="s">
        <v>34</v>
      </c>
      <c r="H6" s="21" t="s">
        <v>35</v>
      </c>
      <c r="I6" s="21" t="s">
        <v>36</v>
      </c>
      <c r="J6" s="19"/>
      <c r="K6" s="22"/>
      <c r="L6" s="21"/>
      <c r="M6" s="19"/>
    </row>
    <row r="7" spans="2:14" ht="11.25" hidden="1" customHeight="1" x14ac:dyDescent="0.2">
      <c r="B7" s="19"/>
      <c r="C7" s="8" t="s">
        <v>37</v>
      </c>
      <c r="D7" s="7"/>
      <c r="E7" s="7" t="s">
        <v>38</v>
      </c>
      <c r="F7" s="7"/>
      <c r="G7" s="7"/>
      <c r="H7" s="27">
        <f>0+H8</f>
        <v>0</v>
      </c>
      <c r="I7" s="27">
        <f>0+I8</f>
        <v>0</v>
      </c>
      <c r="J7" s="7" t="s">
        <v>28</v>
      </c>
      <c r="K7" s="28">
        <f>(0+H8*K8)/IF(H7=0,1,H7)</f>
        <v>0</v>
      </c>
      <c r="L7" s="21"/>
      <c r="M7" s="19"/>
    </row>
    <row r="8" spans="2:14" ht="11.25" hidden="1" customHeight="1" x14ac:dyDescent="0.2">
      <c r="B8" s="19"/>
      <c r="C8" s="19"/>
      <c r="D8" s="9" t="s">
        <v>29</v>
      </c>
      <c r="E8" s="10"/>
      <c r="F8" s="10"/>
      <c r="G8" s="11" t="s">
        <v>30</v>
      </c>
      <c r="H8" s="12">
        <v>0</v>
      </c>
      <c r="I8" s="12">
        <f>0</f>
        <v>0</v>
      </c>
      <c r="J8" s="10" t="s">
        <v>31</v>
      </c>
      <c r="K8" s="29">
        <f>IF(J8="FINALIZADA",1,IF(H8&lt;I8,0.99,I8/IF(H8=0,1,H8)))</f>
        <v>0</v>
      </c>
      <c r="L8" s="21"/>
      <c r="M8" s="19"/>
    </row>
    <row r="9" spans="2:14" ht="11.25" hidden="1" customHeight="1" x14ac:dyDescent="0.2">
      <c r="B9" s="19"/>
      <c r="C9" s="19"/>
      <c r="D9" s="19"/>
      <c r="E9" s="19"/>
      <c r="F9" s="30" t="s">
        <v>4</v>
      </c>
      <c r="G9" s="30" t="s">
        <v>5</v>
      </c>
      <c r="H9" s="31" t="s">
        <v>6</v>
      </c>
      <c r="I9" s="31" t="s">
        <v>32</v>
      </c>
      <c r="J9" s="19"/>
      <c r="K9" s="22"/>
      <c r="L9" s="21"/>
      <c r="M9" s="19"/>
    </row>
    <row r="10" spans="2:14" ht="11.25" hidden="1" customHeight="1" x14ac:dyDescent="0.2">
      <c r="B10" s="19"/>
      <c r="C10" s="19"/>
      <c r="D10" s="19"/>
      <c r="E10" s="19"/>
      <c r="F10" s="19" t="s">
        <v>33</v>
      </c>
      <c r="G10" s="19" t="s">
        <v>34</v>
      </c>
      <c r="H10" s="21" t="s">
        <v>35</v>
      </c>
      <c r="I10" s="21" t="s">
        <v>36</v>
      </c>
      <c r="J10" s="19"/>
      <c r="K10" s="22"/>
      <c r="L10" s="21"/>
      <c r="M10" s="19"/>
    </row>
    <row r="11" spans="2:14" ht="11.25" hidden="1" customHeight="1" x14ac:dyDescent="0.2">
      <c r="B11" s="19"/>
      <c r="C11" s="8" t="s">
        <v>22</v>
      </c>
      <c r="D11" s="7"/>
      <c r="E11" s="7" t="s">
        <v>39</v>
      </c>
      <c r="F11" s="7"/>
      <c r="G11" s="7"/>
      <c r="H11" s="27">
        <f>0+H12+H15+H22+H29</f>
        <v>3.6875000000000004</v>
      </c>
      <c r="I11" s="27">
        <f>0+I12+I15+I22+I29</f>
        <v>1.8958333333333335</v>
      </c>
      <c r="J11" s="7" t="s">
        <v>11</v>
      </c>
      <c r="K11" s="28">
        <f>(0+H12*K12+H15*K15+H22*K22+H29*K29)/IF(H11=0,1,H11)</f>
        <v>0.47175141242937851</v>
      </c>
      <c r="L11" s="21"/>
      <c r="M11" s="19"/>
    </row>
    <row r="12" spans="2:14" hidden="1" x14ac:dyDescent="0.2">
      <c r="B12" s="19"/>
      <c r="C12" s="19"/>
      <c r="D12" s="9" t="s">
        <v>29</v>
      </c>
      <c r="E12" s="10"/>
      <c r="F12" s="10"/>
      <c r="G12" s="11" t="s">
        <v>40</v>
      </c>
      <c r="H12" s="12">
        <v>0.77083333333333337</v>
      </c>
      <c r="I12" s="12">
        <f>0</f>
        <v>0</v>
      </c>
      <c r="J12" s="10" t="s">
        <v>10</v>
      </c>
      <c r="K12" s="29">
        <f>IF(J12="FINALIZADA",1,IF(H12&lt;I12,0.99,I12/IF(H12=0,1,H12)))</f>
        <v>0</v>
      </c>
      <c r="L12" s="21"/>
      <c r="M12" s="19"/>
      <c r="N12" s="4"/>
    </row>
    <row r="13" spans="2:14" hidden="1" x14ac:dyDescent="0.2">
      <c r="B13" s="19"/>
      <c r="C13" s="19"/>
      <c r="D13" s="19"/>
      <c r="E13" s="19"/>
      <c r="F13" s="30" t="s">
        <v>4</v>
      </c>
      <c r="G13" s="30" t="s">
        <v>5</v>
      </c>
      <c r="H13" s="31" t="s">
        <v>6</v>
      </c>
      <c r="I13" s="31" t="s">
        <v>32</v>
      </c>
      <c r="J13" s="19"/>
      <c r="K13" s="22"/>
      <c r="L13" s="21"/>
      <c r="M13" s="19"/>
    </row>
    <row r="14" spans="2:14" ht="11.25" hidden="1" customHeight="1" x14ac:dyDescent="0.2">
      <c r="B14" s="19"/>
      <c r="C14" s="19"/>
      <c r="D14" s="19"/>
      <c r="E14" s="19"/>
      <c r="F14" s="19" t="s">
        <v>33</v>
      </c>
      <c r="G14" s="19" t="s">
        <v>34</v>
      </c>
      <c r="H14" s="21" t="s">
        <v>35</v>
      </c>
      <c r="I14" s="21" t="s">
        <v>36</v>
      </c>
      <c r="J14" s="19"/>
      <c r="K14" s="22"/>
      <c r="L14" s="21"/>
      <c r="M14" s="19"/>
    </row>
    <row r="15" spans="2:14" ht="11.25" hidden="1" customHeight="1" x14ac:dyDescent="0.2">
      <c r="B15" s="19"/>
      <c r="C15" s="19"/>
      <c r="D15" s="9" t="s">
        <v>41</v>
      </c>
      <c r="E15" s="10"/>
      <c r="F15" s="10"/>
      <c r="G15" s="11" t="s">
        <v>42</v>
      </c>
      <c r="H15" s="12">
        <v>1.0416666666666667</v>
      </c>
      <c r="I15" s="12">
        <f>0+I17+I18+I19+I20+I21</f>
        <v>0.70833333333333337</v>
      </c>
      <c r="J15" s="10" t="s">
        <v>11</v>
      </c>
      <c r="K15" s="29">
        <f>IF(J15="FINALIZADA",1,IF(H15&lt;I15,0.99,I15/IF(H15=0,1,H15)))</f>
        <v>0.67999999999999994</v>
      </c>
      <c r="L15" s="21"/>
      <c r="M15" s="19"/>
    </row>
    <row r="16" spans="2:14" ht="11.25" hidden="1" customHeight="1" x14ac:dyDescent="0.2">
      <c r="B16" s="19"/>
      <c r="C16" s="19"/>
      <c r="D16" s="19"/>
      <c r="E16" s="19"/>
      <c r="F16" s="30" t="s">
        <v>4</v>
      </c>
      <c r="G16" s="30" t="s">
        <v>5</v>
      </c>
      <c r="H16" s="31" t="s">
        <v>6</v>
      </c>
      <c r="I16" s="31" t="s">
        <v>32</v>
      </c>
      <c r="J16" s="19"/>
      <c r="K16" s="22"/>
      <c r="L16" s="21"/>
      <c r="M16" s="19"/>
    </row>
    <row r="17" spans="2:13" ht="11.25" hidden="1" customHeight="1" x14ac:dyDescent="0.2">
      <c r="B17" s="19"/>
      <c r="C17" s="19"/>
      <c r="D17" s="19"/>
      <c r="E17" s="19"/>
      <c r="F17" s="20">
        <v>42692</v>
      </c>
      <c r="G17" s="19" t="s">
        <v>15</v>
      </c>
      <c r="H17" s="21" t="s">
        <v>39</v>
      </c>
      <c r="I17" s="21">
        <v>8.3333333333333329E-2</v>
      </c>
      <c r="J17" s="19"/>
      <c r="K17" s="22"/>
      <c r="L17" s="21"/>
      <c r="M17" s="19"/>
    </row>
    <row r="18" spans="2:13" ht="11.25" hidden="1" customHeight="1" x14ac:dyDescent="0.2">
      <c r="B18" s="19"/>
      <c r="C18" s="19"/>
      <c r="D18" s="19"/>
      <c r="E18" s="19"/>
      <c r="F18" s="20">
        <v>42692</v>
      </c>
      <c r="G18" s="19" t="s">
        <v>12</v>
      </c>
      <c r="H18" s="21" t="s">
        <v>39</v>
      </c>
      <c r="I18" s="21">
        <v>8.3333333333333329E-2</v>
      </c>
      <c r="J18" s="19"/>
      <c r="K18" s="22"/>
      <c r="L18" s="21"/>
      <c r="M18" s="19"/>
    </row>
    <row r="19" spans="2:13" ht="11.25" hidden="1" customHeight="1" x14ac:dyDescent="0.2">
      <c r="B19" s="19"/>
      <c r="C19" s="19"/>
      <c r="D19" s="19"/>
      <c r="E19" s="19"/>
      <c r="F19" s="20">
        <v>42695</v>
      </c>
      <c r="G19" s="19" t="s">
        <v>12</v>
      </c>
      <c r="H19" s="21" t="s">
        <v>39</v>
      </c>
      <c r="I19" s="21">
        <v>0.33333333333333331</v>
      </c>
      <c r="J19" s="19"/>
      <c r="K19" s="22"/>
      <c r="L19" s="21"/>
      <c r="M19" s="19"/>
    </row>
    <row r="20" spans="2:13" ht="11.25" hidden="1" customHeight="1" x14ac:dyDescent="0.2">
      <c r="B20" s="19"/>
      <c r="C20" s="19"/>
      <c r="D20" s="19"/>
      <c r="E20" s="19"/>
      <c r="F20" s="20">
        <v>42695</v>
      </c>
      <c r="G20" s="19" t="s">
        <v>9</v>
      </c>
      <c r="H20" s="21" t="s">
        <v>39</v>
      </c>
      <c r="I20" s="21">
        <v>0.125</v>
      </c>
      <c r="J20" s="19"/>
      <c r="K20" s="22"/>
      <c r="L20" s="21"/>
      <c r="M20" s="19"/>
    </row>
    <row r="21" spans="2:13" ht="11.25" hidden="1" customHeight="1" x14ac:dyDescent="0.2">
      <c r="B21" s="19"/>
      <c r="C21" s="19"/>
      <c r="D21" s="19"/>
      <c r="E21" s="19"/>
      <c r="F21" s="20">
        <v>42695</v>
      </c>
      <c r="G21" s="19" t="s">
        <v>13</v>
      </c>
      <c r="H21" s="21" t="s">
        <v>39</v>
      </c>
      <c r="I21" s="21">
        <v>8.3333333333333329E-2</v>
      </c>
      <c r="J21" s="19"/>
      <c r="K21" s="22"/>
      <c r="L21" s="21"/>
      <c r="M21" s="19"/>
    </row>
    <row r="22" spans="2:13" ht="11.25" hidden="1" customHeight="1" x14ac:dyDescent="0.2">
      <c r="B22" s="19"/>
      <c r="C22" s="19"/>
      <c r="D22" s="9" t="s">
        <v>43</v>
      </c>
      <c r="E22" s="10"/>
      <c r="F22" s="10"/>
      <c r="G22" s="11" t="s">
        <v>44</v>
      </c>
      <c r="H22" s="12">
        <v>1.0416666666666667</v>
      </c>
      <c r="I22" s="12">
        <f>0+I24+I25+I26+I27+I28</f>
        <v>1.1875</v>
      </c>
      <c r="J22" s="10" t="s">
        <v>11</v>
      </c>
      <c r="K22" s="29">
        <f>IF(J22="FINALIZADA",1,IF(H22&lt;I22,0.99,I22/IF(H22=0,1,H22)))</f>
        <v>0.99</v>
      </c>
      <c r="L22" s="21"/>
      <c r="M22" s="19"/>
    </row>
    <row r="23" spans="2:13" hidden="1" x14ac:dyDescent="0.2">
      <c r="B23" s="19"/>
      <c r="C23" s="19"/>
      <c r="D23" s="19"/>
      <c r="E23" s="19"/>
      <c r="F23" s="30" t="s">
        <v>4</v>
      </c>
      <c r="G23" s="30" t="s">
        <v>5</v>
      </c>
      <c r="H23" s="31" t="s">
        <v>6</v>
      </c>
      <c r="I23" s="31" t="s">
        <v>32</v>
      </c>
      <c r="J23" s="19"/>
      <c r="K23" s="22"/>
      <c r="L23" s="21"/>
      <c r="M23" s="19"/>
    </row>
    <row r="24" spans="2:13" ht="11.25" hidden="1" customHeight="1" x14ac:dyDescent="0.2">
      <c r="B24" s="19"/>
      <c r="C24" s="19"/>
      <c r="D24" s="19"/>
      <c r="E24" s="19"/>
      <c r="F24" s="20">
        <v>42692</v>
      </c>
      <c r="G24" s="19" t="s">
        <v>12</v>
      </c>
      <c r="H24" s="21" t="s">
        <v>39</v>
      </c>
      <c r="I24" s="21">
        <v>0.20833333333333334</v>
      </c>
      <c r="J24" s="19"/>
      <c r="K24" s="22"/>
      <c r="L24" s="21"/>
      <c r="M24" s="19"/>
    </row>
    <row r="25" spans="2:13" ht="11.25" hidden="1" customHeight="1" x14ac:dyDescent="0.2">
      <c r="B25" s="19"/>
      <c r="C25" s="19"/>
      <c r="D25" s="19"/>
      <c r="E25" s="19"/>
      <c r="F25" s="20">
        <v>42692</v>
      </c>
      <c r="G25" s="19" t="s">
        <v>7</v>
      </c>
      <c r="H25" s="21" t="s">
        <v>39</v>
      </c>
      <c r="I25" s="21">
        <v>0.29166666666666669</v>
      </c>
      <c r="J25" s="19"/>
      <c r="K25" s="22"/>
      <c r="L25" s="21"/>
      <c r="M25" s="19"/>
    </row>
    <row r="26" spans="2:13" ht="11.25" hidden="1" customHeight="1" x14ac:dyDescent="0.2">
      <c r="B26" s="19"/>
      <c r="C26" s="19"/>
      <c r="D26" s="19"/>
      <c r="E26" s="19"/>
      <c r="F26" s="20">
        <v>42692</v>
      </c>
      <c r="G26" s="19" t="s">
        <v>13</v>
      </c>
      <c r="H26" s="21" t="s">
        <v>39</v>
      </c>
      <c r="I26" s="21">
        <v>0.21875</v>
      </c>
      <c r="J26" s="19"/>
      <c r="K26" s="22"/>
      <c r="L26" s="21"/>
      <c r="M26" s="19"/>
    </row>
    <row r="27" spans="2:13" ht="11.25" hidden="1" customHeight="1" x14ac:dyDescent="0.2">
      <c r="B27" s="19"/>
      <c r="C27" s="19"/>
      <c r="D27" s="19"/>
      <c r="E27" s="19"/>
      <c r="F27" s="20">
        <v>42695</v>
      </c>
      <c r="G27" s="19" t="s">
        <v>7</v>
      </c>
      <c r="H27" s="21" t="s">
        <v>39</v>
      </c>
      <c r="I27" s="21">
        <v>0.34375</v>
      </c>
      <c r="J27" s="19"/>
      <c r="K27" s="22"/>
      <c r="L27" s="21"/>
      <c r="M27" s="19"/>
    </row>
    <row r="28" spans="2:13" ht="11.25" hidden="1" customHeight="1" x14ac:dyDescent="0.2">
      <c r="B28" s="19"/>
      <c r="C28" s="19"/>
      <c r="D28" s="19"/>
      <c r="E28" s="19"/>
      <c r="F28" s="20">
        <v>42695</v>
      </c>
      <c r="G28" s="19" t="s">
        <v>13</v>
      </c>
      <c r="H28" s="21" t="s">
        <v>39</v>
      </c>
      <c r="I28" s="21">
        <v>0.125</v>
      </c>
      <c r="J28" s="19"/>
      <c r="K28" s="22"/>
      <c r="L28" s="21"/>
      <c r="M28" s="19"/>
    </row>
    <row r="29" spans="2:13" ht="11.25" hidden="1" customHeight="1" x14ac:dyDescent="0.2">
      <c r="B29" s="19"/>
      <c r="C29" s="19"/>
      <c r="D29" s="9" t="s">
        <v>45</v>
      </c>
      <c r="E29" s="10"/>
      <c r="F29" s="10"/>
      <c r="G29" s="11" t="s">
        <v>46</v>
      </c>
      <c r="H29" s="12">
        <v>0.83333333333333337</v>
      </c>
      <c r="I29" s="12">
        <f>0</f>
        <v>0</v>
      </c>
      <c r="J29" s="10" t="s">
        <v>10</v>
      </c>
      <c r="K29" s="29">
        <f>IF(J29="FINALIZADA",1,IF(H29&lt;I29,0.99,I29/IF(H29=0,1,H29)))</f>
        <v>0</v>
      </c>
      <c r="L29" s="21"/>
      <c r="M29" s="19"/>
    </row>
    <row r="30" spans="2:13" ht="11.25" hidden="1" customHeight="1" x14ac:dyDescent="0.2">
      <c r="B30" s="19"/>
      <c r="C30" s="19"/>
      <c r="D30" s="19"/>
      <c r="E30" s="19"/>
      <c r="F30" s="30" t="s">
        <v>4</v>
      </c>
      <c r="G30" s="30" t="s">
        <v>5</v>
      </c>
      <c r="H30" s="31" t="s">
        <v>6</v>
      </c>
      <c r="I30" s="31" t="s">
        <v>32</v>
      </c>
      <c r="J30" s="19"/>
      <c r="K30" s="22"/>
      <c r="L30" s="21"/>
      <c r="M30" s="19"/>
    </row>
    <row r="31" spans="2:13" ht="11.25" hidden="1" customHeight="1" x14ac:dyDescent="0.2">
      <c r="B31" s="19"/>
      <c r="C31" s="19"/>
      <c r="D31" s="19"/>
      <c r="E31" s="19"/>
      <c r="F31" s="19" t="s">
        <v>33</v>
      </c>
      <c r="G31" s="19" t="s">
        <v>34</v>
      </c>
      <c r="H31" s="21" t="s">
        <v>35</v>
      </c>
      <c r="I31" s="21" t="s">
        <v>36</v>
      </c>
      <c r="J31" s="19"/>
      <c r="K31" s="22"/>
      <c r="L31" s="21"/>
      <c r="M31" s="19"/>
    </row>
    <row r="32" spans="2:13" ht="11.25" customHeight="1" x14ac:dyDescent="0.2">
      <c r="B32" s="6">
        <v>26649</v>
      </c>
      <c r="C32" s="1"/>
      <c r="D32" s="1"/>
      <c r="E32" s="1" t="s">
        <v>47</v>
      </c>
      <c r="F32" s="1"/>
      <c r="G32" s="1"/>
      <c r="H32" s="23">
        <f>0+H33</f>
        <v>0.70833333333333326</v>
      </c>
      <c r="I32" s="23">
        <f>0+I33</f>
        <v>0.5625</v>
      </c>
      <c r="J32" s="1" t="s">
        <v>48</v>
      </c>
      <c r="K32" s="24">
        <f>(0+H33*K33)/IF(H32=0,1,H32)</f>
        <v>1</v>
      </c>
      <c r="L32" s="25">
        <f>(1-K32)*H32</f>
        <v>0</v>
      </c>
      <c r="M32" s="26"/>
    </row>
    <row r="33" spans="2:13" hidden="1" x14ac:dyDescent="0.2">
      <c r="B33" s="19"/>
      <c r="C33" s="8" t="s">
        <v>49</v>
      </c>
      <c r="D33" s="7"/>
      <c r="E33" s="7" t="s">
        <v>50</v>
      </c>
      <c r="F33" s="7"/>
      <c r="G33" s="7"/>
      <c r="H33" s="27">
        <f>0+H34+H37+H41+H44</f>
        <v>0.70833333333333326</v>
      </c>
      <c r="I33" s="27">
        <f>0+I34+I37+I41+I44</f>
        <v>0.5625</v>
      </c>
      <c r="J33" s="7" t="s">
        <v>3</v>
      </c>
      <c r="K33" s="28">
        <f>(0+H34*K34+H37*K37+H41*K41+H44*K44)/IF(H33=0,1,H33)</f>
        <v>1</v>
      </c>
      <c r="L33" s="21"/>
      <c r="M33" s="19"/>
    </row>
    <row r="34" spans="2:13" ht="11.25" hidden="1" customHeight="1" x14ac:dyDescent="0.2">
      <c r="B34" s="19"/>
      <c r="C34" s="19"/>
      <c r="D34" s="9" t="s">
        <v>29</v>
      </c>
      <c r="E34" s="10"/>
      <c r="F34" s="10"/>
      <c r="G34" s="11" t="s">
        <v>51</v>
      </c>
      <c r="H34" s="12">
        <v>0.16666666666666666</v>
      </c>
      <c r="I34" s="12">
        <f>0</f>
        <v>0</v>
      </c>
      <c r="J34" s="10" t="s">
        <v>3</v>
      </c>
      <c r="K34" s="29">
        <f>IF(J34="FINALIZADA",1,IF(H34&lt;I34,0.99,I34/IF(H34=0,1,H34)))</f>
        <v>1</v>
      </c>
      <c r="L34" s="21"/>
      <c r="M34" s="19"/>
    </row>
    <row r="35" spans="2:13" ht="11.25" hidden="1" customHeight="1" x14ac:dyDescent="0.2">
      <c r="B35" s="19"/>
      <c r="C35" s="19"/>
      <c r="D35" s="19"/>
      <c r="E35" s="19"/>
      <c r="F35" s="30" t="s">
        <v>4</v>
      </c>
      <c r="G35" s="30" t="s">
        <v>5</v>
      </c>
      <c r="H35" s="31" t="s">
        <v>6</v>
      </c>
      <c r="I35" s="31" t="s">
        <v>32</v>
      </c>
      <c r="J35" s="19"/>
      <c r="K35" s="22"/>
      <c r="L35" s="21"/>
      <c r="M35" s="19"/>
    </row>
    <row r="36" spans="2:13" ht="11.25" hidden="1" customHeight="1" x14ac:dyDescent="0.2">
      <c r="B36" s="19"/>
      <c r="C36" s="19"/>
      <c r="D36" s="19"/>
      <c r="E36" s="19"/>
      <c r="F36" s="19" t="s">
        <v>33</v>
      </c>
      <c r="G36" s="19" t="s">
        <v>34</v>
      </c>
      <c r="H36" s="21" t="s">
        <v>35</v>
      </c>
      <c r="I36" s="21" t="s">
        <v>36</v>
      </c>
      <c r="J36" s="19"/>
      <c r="K36" s="22"/>
      <c r="L36" s="21"/>
      <c r="M36" s="19"/>
    </row>
    <row r="37" spans="2:13" ht="11.25" hidden="1" customHeight="1" x14ac:dyDescent="0.2">
      <c r="B37" s="19"/>
      <c r="C37" s="19"/>
      <c r="D37" s="9" t="s">
        <v>41</v>
      </c>
      <c r="E37" s="10"/>
      <c r="F37" s="10"/>
      <c r="G37" s="11" t="s">
        <v>52</v>
      </c>
      <c r="H37" s="12">
        <v>0.33333333333333331</v>
      </c>
      <c r="I37" s="12">
        <f>0+I39+I40</f>
        <v>0.34375</v>
      </c>
      <c r="J37" s="10" t="s">
        <v>3</v>
      </c>
      <c r="K37" s="29">
        <f>IF(J37="FINALIZADA",1,IF(H37&lt;I37,0.99,I37/IF(H37=0,1,H37)))</f>
        <v>1</v>
      </c>
      <c r="L37" s="21"/>
      <c r="M37" s="19"/>
    </row>
    <row r="38" spans="2:13" ht="11.25" hidden="1" customHeight="1" x14ac:dyDescent="0.2">
      <c r="B38" s="19"/>
      <c r="C38" s="19"/>
      <c r="D38" s="19"/>
      <c r="E38" s="19"/>
      <c r="F38" s="30" t="s">
        <v>4</v>
      </c>
      <c r="G38" s="30" t="s">
        <v>5</v>
      </c>
      <c r="H38" s="31" t="s">
        <v>6</v>
      </c>
      <c r="I38" s="31" t="s">
        <v>32</v>
      </c>
      <c r="J38" s="19"/>
      <c r="K38" s="22"/>
      <c r="L38" s="21"/>
      <c r="M38" s="19"/>
    </row>
    <row r="39" spans="2:13" ht="11.25" hidden="1" customHeight="1" x14ac:dyDescent="0.2">
      <c r="B39" s="19"/>
      <c r="C39" s="19"/>
      <c r="D39" s="19"/>
      <c r="E39" s="19"/>
      <c r="F39" s="20">
        <v>42661</v>
      </c>
      <c r="G39" s="19" t="s">
        <v>13</v>
      </c>
      <c r="H39" s="21" t="s">
        <v>8</v>
      </c>
      <c r="I39" s="21">
        <v>8.3333333333333329E-2</v>
      </c>
      <c r="J39" s="19"/>
      <c r="K39" s="22"/>
      <c r="L39" s="21"/>
      <c r="M39" s="19"/>
    </row>
    <row r="40" spans="2:13" ht="11.25" hidden="1" customHeight="1" x14ac:dyDescent="0.2">
      <c r="B40" s="19"/>
      <c r="C40" s="19"/>
      <c r="D40" s="19"/>
      <c r="E40" s="19"/>
      <c r="F40" s="20">
        <v>42662</v>
      </c>
      <c r="G40" s="19" t="s">
        <v>13</v>
      </c>
      <c r="H40" s="21" t="s">
        <v>8</v>
      </c>
      <c r="I40" s="21">
        <v>0.26041666666666669</v>
      </c>
      <c r="J40" s="19"/>
      <c r="K40" s="22"/>
      <c r="L40" s="21"/>
      <c r="M40" s="19"/>
    </row>
    <row r="41" spans="2:13" ht="11.25" hidden="1" customHeight="1" x14ac:dyDescent="0.2">
      <c r="B41" s="19"/>
      <c r="C41" s="19"/>
      <c r="D41" s="9" t="s">
        <v>43</v>
      </c>
      <c r="E41" s="10"/>
      <c r="F41" s="10"/>
      <c r="G41" s="11" t="s">
        <v>53</v>
      </c>
      <c r="H41" s="12">
        <v>0.16666666666666666</v>
      </c>
      <c r="I41" s="12">
        <f>0+I43</f>
        <v>0.16666666666666666</v>
      </c>
      <c r="J41" s="10" t="s">
        <v>3</v>
      </c>
      <c r="K41" s="29">
        <f>IF(J41="FINALIZADA",1,IF(H41&lt;I41,0.99,I41/IF(H41=0,1,H41)))</f>
        <v>1</v>
      </c>
      <c r="L41" s="21"/>
      <c r="M41" s="19"/>
    </row>
    <row r="42" spans="2:13" ht="11.25" hidden="1" customHeight="1" x14ac:dyDescent="0.2">
      <c r="B42" s="19"/>
      <c r="C42" s="19"/>
      <c r="D42" s="19"/>
      <c r="E42" s="19"/>
      <c r="F42" s="30" t="s">
        <v>4</v>
      </c>
      <c r="G42" s="30" t="s">
        <v>5</v>
      </c>
      <c r="H42" s="31" t="s">
        <v>6</v>
      </c>
      <c r="I42" s="31" t="s">
        <v>32</v>
      </c>
      <c r="J42" s="19"/>
      <c r="K42" s="22"/>
      <c r="L42" s="21"/>
      <c r="M42" s="19"/>
    </row>
    <row r="43" spans="2:13" ht="11.25" hidden="1" customHeight="1" x14ac:dyDescent="0.2">
      <c r="B43" s="19"/>
      <c r="C43" s="19"/>
      <c r="D43" s="19"/>
      <c r="E43" s="19"/>
      <c r="F43" s="20">
        <v>42663</v>
      </c>
      <c r="G43" s="19" t="s">
        <v>13</v>
      </c>
      <c r="H43" s="21" t="s">
        <v>8</v>
      </c>
      <c r="I43" s="21">
        <v>0.16666666666666666</v>
      </c>
      <c r="J43" s="19"/>
      <c r="K43" s="22"/>
      <c r="L43" s="21"/>
      <c r="M43" s="19"/>
    </row>
    <row r="44" spans="2:13" ht="11.25" hidden="1" customHeight="1" x14ac:dyDescent="0.2">
      <c r="B44" s="19"/>
      <c r="C44" s="19"/>
      <c r="D44" s="9" t="s">
        <v>45</v>
      </c>
      <c r="E44" s="10"/>
      <c r="F44" s="10"/>
      <c r="G44" s="11" t="s">
        <v>54</v>
      </c>
      <c r="H44" s="12">
        <v>4.1666666666666664E-2</v>
      </c>
      <c r="I44" s="12">
        <f>0+I46</f>
        <v>5.2083333333333336E-2</v>
      </c>
      <c r="J44" s="10" t="s">
        <v>3</v>
      </c>
      <c r="K44" s="29">
        <f>IF(J44="FINALIZADA",1,IF(H44&lt;I44,0.99,I44/IF(H44=0,1,H44)))</f>
        <v>1</v>
      </c>
      <c r="L44" s="21"/>
      <c r="M44" s="19"/>
    </row>
    <row r="45" spans="2:13" ht="11.25" hidden="1" customHeight="1" x14ac:dyDescent="0.2">
      <c r="B45" s="19"/>
      <c r="C45" s="19"/>
      <c r="D45" s="19"/>
      <c r="E45" s="19"/>
      <c r="F45" s="30" t="s">
        <v>4</v>
      </c>
      <c r="G45" s="30" t="s">
        <v>5</v>
      </c>
      <c r="H45" s="31" t="s">
        <v>6</v>
      </c>
      <c r="I45" s="31" t="s">
        <v>32</v>
      </c>
      <c r="J45" s="19"/>
      <c r="K45" s="22"/>
      <c r="L45" s="21"/>
      <c r="M45" s="19"/>
    </row>
    <row r="46" spans="2:13" ht="11.25" hidden="1" customHeight="1" x14ac:dyDescent="0.2">
      <c r="B46" s="19"/>
      <c r="C46" s="19"/>
      <c r="D46" s="19"/>
      <c r="E46" s="19"/>
      <c r="F46" s="20">
        <v>42663</v>
      </c>
      <c r="G46" s="19" t="s">
        <v>13</v>
      </c>
      <c r="H46" s="21" t="s">
        <v>8</v>
      </c>
      <c r="I46" s="21">
        <v>5.2083333333333336E-2</v>
      </c>
      <c r="J46" s="19"/>
      <c r="K46" s="22"/>
      <c r="L46" s="21"/>
      <c r="M46" s="19"/>
    </row>
    <row r="47" spans="2:13" ht="11.25" customHeight="1" x14ac:dyDescent="0.2">
      <c r="B47" s="6">
        <v>26659</v>
      </c>
      <c r="C47" s="1"/>
      <c r="D47" s="1"/>
      <c r="E47" s="1" t="s">
        <v>55</v>
      </c>
      <c r="F47" s="1"/>
      <c r="G47" s="1"/>
      <c r="H47" s="23">
        <f>0+H48</f>
        <v>1.0729166666666667</v>
      </c>
      <c r="I47" s="23">
        <f>0+I48</f>
        <v>0.60416666666666663</v>
      </c>
      <c r="J47" s="1" t="s">
        <v>48</v>
      </c>
      <c r="K47" s="24">
        <f>(0+H48*K48)/IF(H47=0,1,H47)</f>
        <v>1</v>
      </c>
      <c r="L47" s="25">
        <f>(1-K47)*H47</f>
        <v>0</v>
      </c>
      <c r="M47" s="26"/>
    </row>
    <row r="48" spans="2:13" ht="11.25" hidden="1" customHeight="1" x14ac:dyDescent="0.2">
      <c r="B48" s="19"/>
      <c r="C48" s="8" t="s">
        <v>56</v>
      </c>
      <c r="D48" s="7"/>
      <c r="E48" s="7" t="s">
        <v>57</v>
      </c>
      <c r="F48" s="7"/>
      <c r="G48" s="7"/>
      <c r="H48" s="27">
        <f>0+H49+H52+H55+H59+H62</f>
        <v>1.0729166666666667</v>
      </c>
      <c r="I48" s="27">
        <f>0+I49+I52+I55+I59+I62</f>
        <v>0.60416666666666663</v>
      </c>
      <c r="J48" s="7" t="s">
        <v>3</v>
      </c>
      <c r="K48" s="28">
        <f>(0+H49*K49+H52*K52+H55*K55+H59*K59+H62*K62)/IF(H48=0,1,H48)</f>
        <v>1</v>
      </c>
      <c r="L48" s="21"/>
      <c r="M48" s="19"/>
    </row>
    <row r="49" spans="2:13" ht="11.25" hidden="1" customHeight="1" x14ac:dyDescent="0.2">
      <c r="B49" s="19"/>
      <c r="C49" s="19"/>
      <c r="D49" s="9" t="s">
        <v>29</v>
      </c>
      <c r="E49" s="10"/>
      <c r="F49" s="10"/>
      <c r="G49" s="11" t="s">
        <v>58</v>
      </c>
      <c r="H49" s="12">
        <v>0.33333333333333331</v>
      </c>
      <c r="I49" s="12">
        <f>0</f>
        <v>0</v>
      </c>
      <c r="J49" s="10" t="s">
        <v>3</v>
      </c>
      <c r="K49" s="29">
        <f>IF(J49="FINALIZADA",1,IF(H49&lt;I49,0.99,I49/IF(H49=0,1,H49)))</f>
        <v>1</v>
      </c>
      <c r="L49" s="21"/>
      <c r="M49" s="19"/>
    </row>
    <row r="50" spans="2:13" ht="11.25" hidden="1" customHeight="1" x14ac:dyDescent="0.2">
      <c r="B50" s="19"/>
      <c r="C50" s="19"/>
      <c r="D50" s="19"/>
      <c r="E50" s="19"/>
      <c r="F50" s="30" t="s">
        <v>4</v>
      </c>
      <c r="G50" s="30" t="s">
        <v>5</v>
      </c>
      <c r="H50" s="31" t="s">
        <v>6</v>
      </c>
      <c r="I50" s="31" t="s">
        <v>32</v>
      </c>
      <c r="J50" s="19"/>
      <c r="K50" s="22"/>
      <c r="L50" s="21"/>
      <c r="M50" s="19"/>
    </row>
    <row r="51" spans="2:13" ht="11.25" hidden="1" customHeight="1" x14ac:dyDescent="0.2">
      <c r="B51" s="19"/>
      <c r="C51" s="19"/>
      <c r="D51" s="19"/>
      <c r="E51" s="19"/>
      <c r="F51" s="19" t="s">
        <v>33</v>
      </c>
      <c r="G51" s="19" t="s">
        <v>34</v>
      </c>
      <c r="H51" s="21" t="s">
        <v>35</v>
      </c>
      <c r="I51" s="21" t="s">
        <v>36</v>
      </c>
      <c r="J51" s="19"/>
      <c r="K51" s="22"/>
      <c r="L51" s="21"/>
      <c r="M51" s="19"/>
    </row>
    <row r="52" spans="2:13" ht="11.25" hidden="1" customHeight="1" x14ac:dyDescent="0.2">
      <c r="B52" s="19"/>
      <c r="C52" s="19"/>
      <c r="D52" s="9" t="s">
        <v>41</v>
      </c>
      <c r="E52" s="10"/>
      <c r="F52" s="10"/>
      <c r="G52" s="11" t="s">
        <v>59</v>
      </c>
      <c r="H52" s="12">
        <v>3.125E-2</v>
      </c>
      <c r="I52" s="12">
        <f>0+I54</f>
        <v>2.0833333333333332E-2</v>
      </c>
      <c r="J52" s="10" t="s">
        <v>3</v>
      </c>
      <c r="K52" s="29">
        <f>IF(J52="FINALIZADA",1,IF(H52&lt;I52,0.99,I52/IF(H52=0,1,H52)))</f>
        <v>1</v>
      </c>
      <c r="L52" s="21"/>
      <c r="M52" s="19"/>
    </row>
    <row r="53" spans="2:13" ht="11.25" hidden="1" customHeight="1" x14ac:dyDescent="0.2">
      <c r="B53" s="19"/>
      <c r="C53" s="19"/>
      <c r="D53" s="19"/>
      <c r="E53" s="19"/>
      <c r="F53" s="30" t="s">
        <v>4</v>
      </c>
      <c r="G53" s="30" t="s">
        <v>5</v>
      </c>
      <c r="H53" s="31" t="s">
        <v>6</v>
      </c>
      <c r="I53" s="31" t="s">
        <v>32</v>
      </c>
      <c r="J53" s="19"/>
      <c r="K53" s="22"/>
      <c r="L53" s="21"/>
      <c r="M53" s="19"/>
    </row>
    <row r="54" spans="2:13" ht="11.25" hidden="1" customHeight="1" x14ac:dyDescent="0.2">
      <c r="B54" s="19"/>
      <c r="C54" s="19"/>
      <c r="D54" s="19"/>
      <c r="E54" s="19"/>
      <c r="F54" s="20">
        <v>42663</v>
      </c>
      <c r="G54" s="19" t="s">
        <v>7</v>
      </c>
      <c r="H54" s="21" t="s">
        <v>8</v>
      </c>
      <c r="I54" s="21">
        <v>2.0833333333333332E-2</v>
      </c>
      <c r="J54" s="19"/>
      <c r="K54" s="22"/>
      <c r="L54" s="21"/>
      <c r="M54" s="19"/>
    </row>
    <row r="55" spans="2:13" hidden="1" x14ac:dyDescent="0.2">
      <c r="B55" s="19"/>
      <c r="C55" s="19"/>
      <c r="D55" s="9" t="s">
        <v>43</v>
      </c>
      <c r="E55" s="10"/>
      <c r="F55" s="10"/>
      <c r="G55" s="11" t="s">
        <v>60</v>
      </c>
      <c r="H55" s="12">
        <v>0.5</v>
      </c>
      <c r="I55" s="12">
        <f>0+I57+I58</f>
        <v>0.375</v>
      </c>
      <c r="J55" s="10" t="s">
        <v>3</v>
      </c>
      <c r="K55" s="29">
        <f>IF(J55="FINALIZADA",1,IF(H55&lt;I55,0.99,I55/IF(H55=0,1,H55)))</f>
        <v>1</v>
      </c>
      <c r="L55" s="21"/>
      <c r="M55" s="19"/>
    </row>
    <row r="56" spans="2:13" hidden="1" x14ac:dyDescent="0.2">
      <c r="B56" s="19"/>
      <c r="C56" s="19"/>
      <c r="D56" s="19"/>
      <c r="E56" s="19"/>
      <c r="F56" s="30" t="s">
        <v>4</v>
      </c>
      <c r="G56" s="30" t="s">
        <v>5</v>
      </c>
      <c r="H56" s="31" t="s">
        <v>6</v>
      </c>
      <c r="I56" s="31" t="s">
        <v>32</v>
      </c>
      <c r="J56" s="19"/>
      <c r="K56" s="22"/>
      <c r="L56" s="21"/>
      <c r="M56" s="19"/>
    </row>
    <row r="57" spans="2:13" ht="11.25" hidden="1" customHeight="1" x14ac:dyDescent="0.2">
      <c r="B57" s="19"/>
      <c r="C57" s="19"/>
      <c r="D57" s="19"/>
      <c r="E57" s="19"/>
      <c r="F57" s="20">
        <v>42663</v>
      </c>
      <c r="G57" s="19" t="s">
        <v>12</v>
      </c>
      <c r="H57" s="21" t="s">
        <v>8</v>
      </c>
      <c r="I57" s="21">
        <v>0.1875</v>
      </c>
      <c r="J57" s="19"/>
      <c r="K57" s="22"/>
      <c r="L57" s="21"/>
      <c r="M57" s="19"/>
    </row>
    <row r="58" spans="2:13" ht="11.25" hidden="1" customHeight="1" x14ac:dyDescent="0.2">
      <c r="B58" s="19"/>
      <c r="C58" s="19"/>
      <c r="D58" s="19"/>
      <c r="E58" s="19"/>
      <c r="F58" s="20">
        <v>42663</v>
      </c>
      <c r="G58" s="19" t="s">
        <v>7</v>
      </c>
      <c r="H58" s="21" t="s">
        <v>8</v>
      </c>
      <c r="I58" s="21">
        <v>0.1875</v>
      </c>
      <c r="J58" s="19"/>
      <c r="K58" s="22"/>
      <c r="L58" s="21"/>
      <c r="M58" s="19"/>
    </row>
    <row r="59" spans="2:13" ht="11.25" hidden="1" customHeight="1" x14ac:dyDescent="0.2">
      <c r="B59" s="19"/>
      <c r="C59" s="19"/>
      <c r="D59" s="9" t="s">
        <v>45</v>
      </c>
      <c r="E59" s="10"/>
      <c r="F59" s="10"/>
      <c r="G59" s="11" t="s">
        <v>61</v>
      </c>
      <c r="H59" s="12">
        <v>0.16666666666666666</v>
      </c>
      <c r="I59" s="12">
        <f>0+I61</f>
        <v>0.16666666666666666</v>
      </c>
      <c r="J59" s="10" t="s">
        <v>3</v>
      </c>
      <c r="K59" s="29">
        <f>IF(J59="FINALIZADA",1,IF(H59&lt;I59,0.99,I59/IF(H59=0,1,H59)))</f>
        <v>1</v>
      </c>
      <c r="L59" s="21"/>
      <c r="M59" s="19"/>
    </row>
    <row r="60" spans="2:13" ht="11.25" hidden="1" customHeight="1" x14ac:dyDescent="0.2">
      <c r="B60" s="19"/>
      <c r="C60" s="19"/>
      <c r="D60" s="19"/>
      <c r="E60" s="19"/>
      <c r="F60" s="30" t="s">
        <v>4</v>
      </c>
      <c r="G60" s="30" t="s">
        <v>5</v>
      </c>
      <c r="H60" s="31" t="s">
        <v>6</v>
      </c>
      <c r="I60" s="31" t="s">
        <v>32</v>
      </c>
      <c r="J60" s="19"/>
      <c r="K60" s="22"/>
      <c r="L60" s="21"/>
      <c r="M60" s="19"/>
    </row>
    <row r="61" spans="2:13" ht="11.25" hidden="1" customHeight="1" x14ac:dyDescent="0.2">
      <c r="B61" s="19"/>
      <c r="C61" s="19"/>
      <c r="D61" s="19"/>
      <c r="E61" s="19"/>
      <c r="F61" s="20">
        <v>42664</v>
      </c>
      <c r="G61" s="19" t="s">
        <v>7</v>
      </c>
      <c r="H61" s="21" t="s">
        <v>8</v>
      </c>
      <c r="I61" s="21">
        <v>0.16666666666666666</v>
      </c>
      <c r="J61" s="19"/>
      <c r="K61" s="22"/>
      <c r="L61" s="21"/>
      <c r="M61" s="19"/>
    </row>
    <row r="62" spans="2:13" ht="11.25" hidden="1" customHeight="1" x14ac:dyDescent="0.2">
      <c r="B62" s="19"/>
      <c r="C62" s="19"/>
      <c r="D62" s="9" t="s">
        <v>62</v>
      </c>
      <c r="E62" s="10"/>
      <c r="F62" s="10"/>
      <c r="G62" s="11" t="s">
        <v>63</v>
      </c>
      <c r="H62" s="12">
        <v>4.1666666666666664E-2</v>
      </c>
      <c r="I62" s="12">
        <f>0+I64</f>
        <v>4.1666666666666664E-2</v>
      </c>
      <c r="J62" s="10" t="s">
        <v>3</v>
      </c>
      <c r="K62" s="29">
        <f>IF(J62="FINALIZADA",1,IF(H62&lt;I62,0.99,I62/IF(H62=0,1,H62)))</f>
        <v>1</v>
      </c>
      <c r="L62" s="21"/>
      <c r="M62" s="19"/>
    </row>
    <row r="63" spans="2:13" ht="11.25" hidden="1" customHeight="1" x14ac:dyDescent="0.2">
      <c r="B63" s="19"/>
      <c r="C63" s="19"/>
      <c r="D63" s="19"/>
      <c r="E63" s="19"/>
      <c r="F63" s="30" t="s">
        <v>4</v>
      </c>
      <c r="G63" s="30" t="s">
        <v>5</v>
      </c>
      <c r="H63" s="31" t="s">
        <v>6</v>
      </c>
      <c r="I63" s="31" t="s">
        <v>32</v>
      </c>
      <c r="J63" s="19"/>
      <c r="K63" s="22"/>
      <c r="L63" s="21"/>
      <c r="M63" s="19"/>
    </row>
    <row r="64" spans="2:13" ht="11.25" hidden="1" customHeight="1" x14ac:dyDescent="0.2">
      <c r="B64" s="19"/>
      <c r="C64" s="19"/>
      <c r="D64" s="19"/>
      <c r="E64" s="19"/>
      <c r="F64" s="20">
        <v>42664</v>
      </c>
      <c r="G64" s="19" t="s">
        <v>7</v>
      </c>
      <c r="H64" s="21" t="s">
        <v>8</v>
      </c>
      <c r="I64" s="21">
        <v>4.1666666666666664E-2</v>
      </c>
      <c r="J64" s="19"/>
      <c r="K64" s="22"/>
      <c r="L64" s="21"/>
      <c r="M64" s="19"/>
    </row>
    <row r="65" spans="2:13" ht="11.25" customHeight="1" x14ac:dyDescent="0.2">
      <c r="B65" s="6">
        <v>26714</v>
      </c>
      <c r="C65" s="1"/>
      <c r="D65" s="1"/>
      <c r="E65" s="1" t="s">
        <v>64</v>
      </c>
      <c r="F65" s="1"/>
      <c r="G65" s="1"/>
      <c r="H65" s="23">
        <f>0+H66</f>
        <v>0.24999999999999997</v>
      </c>
      <c r="I65" s="23">
        <f>0+I66</f>
        <v>0.24999999999999997</v>
      </c>
      <c r="J65" s="1" t="s">
        <v>65</v>
      </c>
      <c r="K65" s="24">
        <f>(0+H66*K66)/IF(H65=0,1,H65)</f>
        <v>1</v>
      </c>
      <c r="L65" s="25">
        <f>(1-K65)*H65</f>
        <v>0</v>
      </c>
      <c r="M65" s="26"/>
    </row>
    <row r="66" spans="2:13" ht="11.25" hidden="1" customHeight="1" x14ac:dyDescent="0.2">
      <c r="B66" s="19"/>
      <c r="C66" s="8" t="s">
        <v>66</v>
      </c>
      <c r="D66" s="7"/>
      <c r="E66" s="7" t="s">
        <v>67</v>
      </c>
      <c r="F66" s="7"/>
      <c r="G66" s="7"/>
      <c r="H66" s="27">
        <f>0+H67+H70+H73+H76</f>
        <v>0.24999999999999997</v>
      </c>
      <c r="I66" s="27">
        <f>0+I67+I70+I73+I76</f>
        <v>0.24999999999999997</v>
      </c>
      <c r="J66" s="7" t="s">
        <v>3</v>
      </c>
      <c r="K66" s="28">
        <f>(0+H67*K67+H70*K70+H73*K73+H76*K76)/IF(H66=0,1,H66)</f>
        <v>1</v>
      </c>
      <c r="L66" s="21"/>
      <c r="M66" s="19"/>
    </row>
    <row r="67" spans="2:13" ht="11.25" hidden="1" customHeight="1" x14ac:dyDescent="0.2">
      <c r="B67" s="19"/>
      <c r="C67" s="19"/>
      <c r="D67" s="9" t="s">
        <v>29</v>
      </c>
      <c r="E67" s="10"/>
      <c r="F67" s="10"/>
      <c r="G67" s="11" t="s">
        <v>68</v>
      </c>
      <c r="H67" s="12">
        <v>4.1666666666666664E-2</v>
      </c>
      <c r="I67" s="12">
        <f>0+I69</f>
        <v>8.3333333333333329E-2</v>
      </c>
      <c r="J67" s="10" t="s">
        <v>3</v>
      </c>
      <c r="K67" s="29">
        <f>IF(J67="FINALIZADA",1,IF(H67&lt;I67,0.99,I67/IF(H67=0,1,H67)))</f>
        <v>1</v>
      </c>
      <c r="L67" s="21"/>
      <c r="M67" s="19"/>
    </row>
    <row r="68" spans="2:13" ht="11.25" hidden="1" customHeight="1" x14ac:dyDescent="0.2">
      <c r="B68" s="19"/>
      <c r="C68" s="19"/>
      <c r="D68" s="19"/>
      <c r="E68" s="19"/>
      <c r="F68" s="30" t="s">
        <v>4</v>
      </c>
      <c r="G68" s="30" t="s">
        <v>5</v>
      </c>
      <c r="H68" s="31" t="s">
        <v>6</v>
      </c>
      <c r="I68" s="31" t="s">
        <v>32</v>
      </c>
      <c r="J68" s="19"/>
      <c r="K68" s="22"/>
      <c r="L68" s="21"/>
      <c r="M68" s="19"/>
    </row>
    <row r="69" spans="2:13" ht="11.25" hidden="1" customHeight="1" x14ac:dyDescent="0.2">
      <c r="B69" s="19"/>
      <c r="C69" s="19"/>
      <c r="D69" s="19"/>
      <c r="E69" s="19"/>
      <c r="F69" s="20">
        <v>42668</v>
      </c>
      <c r="G69" s="19" t="s">
        <v>12</v>
      </c>
      <c r="H69" s="21" t="s">
        <v>8</v>
      </c>
      <c r="I69" s="21">
        <v>8.3333333333333329E-2</v>
      </c>
      <c r="J69" s="19"/>
      <c r="K69" s="22"/>
      <c r="L69" s="21"/>
      <c r="M69" s="19"/>
    </row>
    <row r="70" spans="2:13" hidden="1" x14ac:dyDescent="0.2">
      <c r="B70" s="19"/>
      <c r="C70" s="19"/>
      <c r="D70" s="9" t="s">
        <v>41</v>
      </c>
      <c r="E70" s="10"/>
      <c r="F70" s="10"/>
      <c r="G70" s="11" t="s">
        <v>69</v>
      </c>
      <c r="H70" s="12">
        <v>4.1666666666666664E-2</v>
      </c>
      <c r="I70" s="12">
        <f>0</f>
        <v>0</v>
      </c>
      <c r="J70" s="10" t="s">
        <v>3</v>
      </c>
      <c r="K70" s="29">
        <f>IF(J70="FINALIZADA",1,IF(H70&lt;I70,0.99,I70/IF(H70=0,1,H70)))</f>
        <v>1</v>
      </c>
      <c r="L70" s="21"/>
      <c r="M70" s="19"/>
    </row>
    <row r="71" spans="2:13" hidden="1" x14ac:dyDescent="0.2">
      <c r="B71" s="19"/>
      <c r="C71" s="19"/>
      <c r="D71" s="19"/>
      <c r="E71" s="19"/>
      <c r="F71" s="30" t="s">
        <v>4</v>
      </c>
      <c r="G71" s="30" t="s">
        <v>5</v>
      </c>
      <c r="H71" s="31" t="s">
        <v>6</v>
      </c>
      <c r="I71" s="31" t="s">
        <v>32</v>
      </c>
      <c r="J71" s="19"/>
      <c r="K71" s="22"/>
      <c r="L71" s="21"/>
      <c r="M71" s="19"/>
    </row>
    <row r="72" spans="2:13" ht="11.25" hidden="1" customHeight="1" x14ac:dyDescent="0.2">
      <c r="B72" s="19"/>
      <c r="C72" s="19"/>
      <c r="D72" s="19"/>
      <c r="E72" s="19"/>
      <c r="F72" s="19" t="s">
        <v>33</v>
      </c>
      <c r="G72" s="19" t="s">
        <v>34</v>
      </c>
      <c r="H72" s="21" t="s">
        <v>35</v>
      </c>
      <c r="I72" s="21" t="s">
        <v>36</v>
      </c>
      <c r="J72" s="19"/>
      <c r="K72" s="22"/>
      <c r="L72" s="21"/>
      <c r="M72" s="19"/>
    </row>
    <row r="73" spans="2:13" s="3" customFormat="1" ht="11.25" hidden="1" customHeight="1" x14ac:dyDescent="0.2">
      <c r="B73" s="19"/>
      <c r="C73" s="19"/>
      <c r="D73" s="9" t="s">
        <v>43</v>
      </c>
      <c r="E73" s="10"/>
      <c r="F73" s="10"/>
      <c r="G73" s="11" t="s">
        <v>61</v>
      </c>
      <c r="H73" s="12">
        <v>0.125</v>
      </c>
      <c r="I73" s="12">
        <f>0+I75</f>
        <v>0.125</v>
      </c>
      <c r="J73" s="10" t="s">
        <v>3</v>
      </c>
      <c r="K73" s="29">
        <f>IF(J73="FINALIZADA",1,IF(H73&lt;I73,0.99,I73/IF(H73=0,1,H73)))</f>
        <v>1</v>
      </c>
      <c r="L73" s="21"/>
      <c r="M73" s="19"/>
    </row>
    <row r="74" spans="2:13" ht="11.25" hidden="1" customHeight="1" x14ac:dyDescent="0.2">
      <c r="B74" s="19"/>
      <c r="C74" s="19"/>
      <c r="D74" s="19"/>
      <c r="E74" s="19"/>
      <c r="F74" s="30" t="s">
        <v>4</v>
      </c>
      <c r="G74" s="30" t="s">
        <v>5</v>
      </c>
      <c r="H74" s="31" t="s">
        <v>6</v>
      </c>
      <c r="I74" s="31" t="s">
        <v>32</v>
      </c>
      <c r="J74" s="19"/>
      <c r="K74" s="22"/>
      <c r="L74" s="21"/>
      <c r="M74" s="19"/>
    </row>
    <row r="75" spans="2:13" ht="11.25" hidden="1" customHeight="1" x14ac:dyDescent="0.2">
      <c r="B75" s="19"/>
      <c r="C75" s="19"/>
      <c r="D75" s="19"/>
      <c r="E75" s="19"/>
      <c r="F75" s="20">
        <v>42671</v>
      </c>
      <c r="G75" s="19" t="s">
        <v>13</v>
      </c>
      <c r="H75" s="21" t="s">
        <v>8</v>
      </c>
      <c r="I75" s="21">
        <v>0.125</v>
      </c>
      <c r="J75" s="19"/>
      <c r="K75" s="22"/>
      <c r="L75" s="21"/>
      <c r="M75" s="19"/>
    </row>
    <row r="76" spans="2:13" s="3" customFormat="1" ht="11.25" hidden="1" customHeight="1" x14ac:dyDescent="0.2">
      <c r="B76" s="19"/>
      <c r="C76" s="19"/>
      <c r="D76" s="9" t="s">
        <v>45</v>
      </c>
      <c r="E76" s="10"/>
      <c r="F76" s="10"/>
      <c r="G76" s="11" t="s">
        <v>70</v>
      </c>
      <c r="H76" s="12">
        <v>4.1666666666666664E-2</v>
      </c>
      <c r="I76" s="12">
        <f>0+I78</f>
        <v>4.1666666666666664E-2</v>
      </c>
      <c r="J76" s="10" t="s">
        <v>3</v>
      </c>
      <c r="K76" s="29">
        <f>IF(J76="FINALIZADA",1,IF(H76&lt;I76,0.99,I76/IF(H76=0,1,H76)))</f>
        <v>1</v>
      </c>
      <c r="L76" s="21"/>
      <c r="M76" s="19"/>
    </row>
    <row r="77" spans="2:13" ht="11.25" hidden="1" customHeight="1" x14ac:dyDescent="0.2">
      <c r="B77" s="19"/>
      <c r="C77" s="19"/>
      <c r="D77" s="19"/>
      <c r="E77" s="19"/>
      <c r="F77" s="30" t="s">
        <v>4</v>
      </c>
      <c r="G77" s="30" t="s">
        <v>5</v>
      </c>
      <c r="H77" s="31" t="s">
        <v>6</v>
      </c>
      <c r="I77" s="31" t="s">
        <v>32</v>
      </c>
      <c r="J77" s="19"/>
      <c r="K77" s="22"/>
      <c r="L77" s="21"/>
      <c r="M77" s="19"/>
    </row>
    <row r="78" spans="2:13" ht="11.25" hidden="1" customHeight="1" x14ac:dyDescent="0.2">
      <c r="B78" s="19"/>
      <c r="C78" s="19"/>
      <c r="D78" s="19"/>
      <c r="E78" s="19"/>
      <c r="F78" s="20">
        <v>42678</v>
      </c>
      <c r="G78" s="19" t="s">
        <v>13</v>
      </c>
      <c r="H78" s="21" t="s">
        <v>8</v>
      </c>
      <c r="I78" s="21">
        <v>4.1666666666666664E-2</v>
      </c>
      <c r="J78" s="19"/>
      <c r="K78" s="22"/>
      <c r="L78" s="21"/>
      <c r="M78" s="19"/>
    </row>
    <row r="79" spans="2:13" s="3" customFormat="1" ht="11.25" customHeight="1" x14ac:dyDescent="0.2">
      <c r="B79" s="6">
        <v>26746</v>
      </c>
      <c r="C79" s="1"/>
      <c r="D79" s="1"/>
      <c r="E79" s="1" t="s">
        <v>71</v>
      </c>
      <c r="F79" s="1"/>
      <c r="G79" s="1"/>
      <c r="H79" s="23">
        <f>0+H80</f>
        <v>1.125</v>
      </c>
      <c r="I79" s="23">
        <f>0+I80</f>
        <v>0.9375</v>
      </c>
      <c r="J79" s="1" t="s">
        <v>48</v>
      </c>
      <c r="K79" s="24">
        <f>(0+H80*K80)/IF(H79=0,1,H79)</f>
        <v>1</v>
      </c>
      <c r="L79" s="25">
        <f>(1-K79)*H79</f>
        <v>0</v>
      </c>
      <c r="M79" s="26"/>
    </row>
    <row r="80" spans="2:13" ht="11.25" hidden="1" customHeight="1" x14ac:dyDescent="0.2">
      <c r="B80" s="19"/>
      <c r="C80" s="8" t="s">
        <v>72</v>
      </c>
      <c r="D80" s="7"/>
      <c r="E80" s="7" t="s">
        <v>73</v>
      </c>
      <c r="F80" s="7"/>
      <c r="G80" s="7"/>
      <c r="H80" s="27">
        <f>0+H81+H84+H89</f>
        <v>1.125</v>
      </c>
      <c r="I80" s="27">
        <f>0+I81+I84+I89</f>
        <v>0.9375</v>
      </c>
      <c r="J80" s="7" t="s">
        <v>3</v>
      </c>
      <c r="K80" s="28">
        <f>(0+H81*K81+H84*K84+H89*K89)/IF(H80=0,1,H80)</f>
        <v>1</v>
      </c>
      <c r="L80" s="21"/>
      <c r="M80" s="19"/>
    </row>
    <row r="81" spans="2:13" ht="11.25" hidden="1" customHeight="1" x14ac:dyDescent="0.2">
      <c r="B81" s="19"/>
      <c r="C81" s="19"/>
      <c r="D81" s="9" t="s">
        <v>29</v>
      </c>
      <c r="E81" s="10"/>
      <c r="F81" s="10"/>
      <c r="G81" s="11" t="s">
        <v>74</v>
      </c>
      <c r="H81" s="12">
        <v>0.41666666666666669</v>
      </c>
      <c r="I81" s="12">
        <f>0+I83</f>
        <v>4.1666666666666664E-2</v>
      </c>
      <c r="J81" s="10" t="s">
        <v>3</v>
      </c>
      <c r="K81" s="29">
        <f>IF(J81="FINALIZADA",1,IF(H81&lt;I81,0.99,I81/IF(H81=0,1,H81)))</f>
        <v>1</v>
      </c>
      <c r="L81" s="21"/>
      <c r="M81" s="19"/>
    </row>
    <row r="82" spans="2:13" ht="11.25" hidden="1" customHeight="1" x14ac:dyDescent="0.2">
      <c r="B82" s="19"/>
      <c r="C82" s="19"/>
      <c r="D82" s="19"/>
      <c r="E82" s="19"/>
      <c r="F82" s="30" t="s">
        <v>4</v>
      </c>
      <c r="G82" s="30" t="s">
        <v>5</v>
      </c>
      <c r="H82" s="31" t="s">
        <v>6</v>
      </c>
      <c r="I82" s="31" t="s">
        <v>32</v>
      </c>
      <c r="J82" s="19"/>
      <c r="K82" s="22"/>
      <c r="L82" s="21"/>
      <c r="M82" s="19"/>
    </row>
    <row r="83" spans="2:13" s="3" customFormat="1" ht="11.25" hidden="1" customHeight="1" x14ac:dyDescent="0.2">
      <c r="B83" s="19"/>
      <c r="C83" s="19"/>
      <c r="D83" s="19"/>
      <c r="E83" s="19"/>
      <c r="F83" s="20">
        <v>42676</v>
      </c>
      <c r="G83" s="19" t="s">
        <v>15</v>
      </c>
      <c r="H83" s="21" t="s">
        <v>8</v>
      </c>
      <c r="I83" s="21">
        <v>4.1666666666666664E-2</v>
      </c>
      <c r="J83" s="19"/>
      <c r="K83" s="22"/>
      <c r="L83" s="21"/>
      <c r="M83" s="19"/>
    </row>
    <row r="84" spans="2:13" ht="11.25" hidden="1" customHeight="1" x14ac:dyDescent="0.2">
      <c r="B84" s="19"/>
      <c r="C84" s="19"/>
      <c r="D84" s="9" t="s">
        <v>41</v>
      </c>
      <c r="E84" s="10"/>
      <c r="F84" s="10"/>
      <c r="G84" s="11" t="s">
        <v>75</v>
      </c>
      <c r="H84" s="12">
        <v>0.5</v>
      </c>
      <c r="I84" s="12">
        <f>0+I86+I87+I88</f>
        <v>0.70833333333333337</v>
      </c>
      <c r="J84" s="10" t="s">
        <v>3</v>
      </c>
      <c r="K84" s="29">
        <f>IF(J84="FINALIZADA",1,IF(H84&lt;I84,0.99,I84/IF(H84=0,1,H84)))</f>
        <v>1</v>
      </c>
      <c r="L84" s="21"/>
      <c r="M84" s="19"/>
    </row>
    <row r="85" spans="2:13" ht="11.25" hidden="1" customHeight="1" x14ac:dyDescent="0.2">
      <c r="B85" s="19"/>
      <c r="C85" s="19"/>
      <c r="D85" s="19"/>
      <c r="E85" s="19"/>
      <c r="F85" s="30" t="s">
        <v>4</v>
      </c>
      <c r="G85" s="30" t="s">
        <v>5</v>
      </c>
      <c r="H85" s="31" t="s">
        <v>6</v>
      </c>
      <c r="I85" s="31" t="s">
        <v>32</v>
      </c>
      <c r="J85" s="19"/>
      <c r="K85" s="22"/>
      <c r="L85" s="21"/>
      <c r="M85" s="19"/>
    </row>
    <row r="86" spans="2:13" ht="11.25" hidden="1" customHeight="1" x14ac:dyDescent="0.2">
      <c r="B86" s="19"/>
      <c r="C86" s="19"/>
      <c r="D86" s="19"/>
      <c r="E86" s="19"/>
      <c r="F86" s="20">
        <v>42676</v>
      </c>
      <c r="G86" s="19" t="s">
        <v>15</v>
      </c>
      <c r="H86" s="21" t="s">
        <v>8</v>
      </c>
      <c r="I86" s="21">
        <v>0.29166666666666669</v>
      </c>
      <c r="J86" s="19"/>
      <c r="K86" s="22"/>
      <c r="L86" s="21"/>
      <c r="M86" s="19"/>
    </row>
    <row r="87" spans="2:13" ht="11.25" hidden="1" customHeight="1" x14ac:dyDescent="0.2">
      <c r="B87" s="19"/>
      <c r="C87" s="19"/>
      <c r="D87" s="19"/>
      <c r="E87" s="19"/>
      <c r="F87" s="20">
        <v>42677</v>
      </c>
      <c r="G87" s="19" t="s">
        <v>15</v>
      </c>
      <c r="H87" s="21" t="s">
        <v>8</v>
      </c>
      <c r="I87" s="21">
        <v>0.20833333333333334</v>
      </c>
      <c r="J87" s="19"/>
      <c r="K87" s="22"/>
      <c r="L87" s="21"/>
      <c r="M87" s="19"/>
    </row>
    <row r="88" spans="2:13" hidden="1" x14ac:dyDescent="0.2">
      <c r="B88" s="19"/>
      <c r="C88" s="19"/>
      <c r="D88" s="19"/>
      <c r="E88" s="19"/>
      <c r="F88" s="20">
        <v>42678</v>
      </c>
      <c r="G88" s="19" t="s">
        <v>15</v>
      </c>
      <c r="H88" s="21" t="s">
        <v>8</v>
      </c>
      <c r="I88" s="21">
        <v>0.20833333333333334</v>
      </c>
      <c r="J88" s="19"/>
      <c r="K88" s="22"/>
      <c r="L88" s="21"/>
      <c r="M88" s="19"/>
    </row>
    <row r="89" spans="2:13" ht="11.25" hidden="1" customHeight="1" x14ac:dyDescent="0.2">
      <c r="B89" s="19"/>
      <c r="C89" s="19"/>
      <c r="D89" s="9" t="s">
        <v>43</v>
      </c>
      <c r="E89" s="10"/>
      <c r="F89" s="10"/>
      <c r="G89" s="11" t="s">
        <v>76</v>
      </c>
      <c r="H89" s="12">
        <v>0.20833333333333334</v>
      </c>
      <c r="I89" s="12">
        <f>0+I91</f>
        <v>0.1875</v>
      </c>
      <c r="J89" s="10" t="s">
        <v>3</v>
      </c>
      <c r="K89" s="29">
        <f>IF(J89="FINALIZADA",1,IF(H89&lt;I89,0.99,I89/IF(H89=0,1,H89)))</f>
        <v>1</v>
      </c>
      <c r="L89" s="21"/>
      <c r="M89" s="19"/>
    </row>
    <row r="90" spans="2:13" ht="11.25" hidden="1" customHeight="1" x14ac:dyDescent="0.2">
      <c r="B90" s="19"/>
      <c r="C90" s="19"/>
      <c r="D90" s="19"/>
      <c r="E90" s="19"/>
      <c r="F90" s="30" t="s">
        <v>4</v>
      </c>
      <c r="G90" s="30" t="s">
        <v>5</v>
      </c>
      <c r="H90" s="31" t="s">
        <v>6</v>
      </c>
      <c r="I90" s="31" t="s">
        <v>32</v>
      </c>
      <c r="J90" s="19"/>
      <c r="K90" s="22"/>
      <c r="L90" s="21"/>
      <c r="M90" s="19"/>
    </row>
    <row r="91" spans="2:13" s="3" customFormat="1" ht="11.25" hidden="1" customHeight="1" x14ac:dyDescent="0.2">
      <c r="B91" s="19"/>
      <c r="C91" s="19"/>
      <c r="D91" s="19"/>
      <c r="E91" s="19"/>
      <c r="F91" s="20">
        <v>42681</v>
      </c>
      <c r="G91" s="19" t="s">
        <v>15</v>
      </c>
      <c r="H91" s="21" t="s">
        <v>8</v>
      </c>
      <c r="I91" s="21">
        <v>0.1875</v>
      </c>
      <c r="J91" s="19"/>
      <c r="K91" s="22"/>
      <c r="L91" s="21"/>
      <c r="M91" s="19"/>
    </row>
    <row r="92" spans="2:13" ht="11.25" customHeight="1" x14ac:dyDescent="0.2">
      <c r="B92" s="6">
        <v>26760</v>
      </c>
      <c r="C92" s="1"/>
      <c r="D92" s="1"/>
      <c r="E92" s="1" t="s">
        <v>77</v>
      </c>
      <c r="F92" s="1"/>
      <c r="G92" s="1"/>
      <c r="H92" s="23">
        <f>0+H93</f>
        <v>0.45833333333333331</v>
      </c>
      <c r="I92" s="23">
        <f>0+I93</f>
        <v>0.4375</v>
      </c>
      <c r="J92" s="1" t="s">
        <v>65</v>
      </c>
      <c r="K92" s="24">
        <f>(0+H93*K93)/IF(H92=0,1,H92)</f>
        <v>1</v>
      </c>
      <c r="L92" s="25">
        <f>(1-K92)*H92</f>
        <v>0</v>
      </c>
      <c r="M92" s="26"/>
    </row>
    <row r="93" spans="2:13" ht="11.25" hidden="1" customHeight="1" x14ac:dyDescent="0.2">
      <c r="B93" s="19"/>
      <c r="C93" s="8" t="s">
        <v>78</v>
      </c>
      <c r="D93" s="7"/>
      <c r="E93" s="7" t="s">
        <v>79</v>
      </c>
      <c r="F93" s="7"/>
      <c r="G93" s="7"/>
      <c r="H93" s="27">
        <f>0+H94+H97+H100</f>
        <v>0.45833333333333331</v>
      </c>
      <c r="I93" s="27">
        <f>0+I94+I97+I100</f>
        <v>0.4375</v>
      </c>
      <c r="J93" s="7" t="s">
        <v>3</v>
      </c>
      <c r="K93" s="28">
        <f>(0+H94*K94+H97*K97+H100*K100)/IF(H93=0,1,H93)</f>
        <v>1</v>
      </c>
      <c r="L93" s="21"/>
      <c r="M93" s="19"/>
    </row>
    <row r="94" spans="2:13" ht="11.25" hidden="1" customHeight="1" x14ac:dyDescent="0.2">
      <c r="B94" s="19"/>
      <c r="C94" s="19"/>
      <c r="D94" s="9" t="s">
        <v>29</v>
      </c>
      <c r="E94" s="10"/>
      <c r="F94" s="10"/>
      <c r="G94" s="11" t="s">
        <v>80</v>
      </c>
      <c r="H94" s="12">
        <v>0.33333333333333331</v>
      </c>
      <c r="I94" s="12">
        <f>0+I96</f>
        <v>0.14583333333333334</v>
      </c>
      <c r="J94" s="10" t="s">
        <v>3</v>
      </c>
      <c r="K94" s="29">
        <f>IF(J94="FINALIZADA",1,IF(H94&lt;I94,0.99,I94/IF(H94=0,1,H94)))</f>
        <v>1</v>
      </c>
      <c r="L94" s="21"/>
      <c r="M94" s="19"/>
    </row>
    <row r="95" spans="2:13" s="3" customFormat="1" ht="11.25" hidden="1" customHeight="1" x14ac:dyDescent="0.2">
      <c r="B95" s="19"/>
      <c r="C95" s="19"/>
      <c r="D95" s="19"/>
      <c r="E95" s="19"/>
      <c r="F95" s="30" t="s">
        <v>4</v>
      </c>
      <c r="G95" s="30" t="s">
        <v>5</v>
      </c>
      <c r="H95" s="31" t="s">
        <v>6</v>
      </c>
      <c r="I95" s="31" t="s">
        <v>32</v>
      </c>
      <c r="J95" s="19"/>
      <c r="K95" s="22"/>
      <c r="L95" s="21"/>
      <c r="M95" s="19"/>
    </row>
    <row r="96" spans="2:13" ht="11.25" hidden="1" customHeight="1" x14ac:dyDescent="0.2">
      <c r="B96" s="19"/>
      <c r="C96" s="19"/>
      <c r="D96" s="19"/>
      <c r="E96" s="19"/>
      <c r="F96" s="20">
        <v>42681</v>
      </c>
      <c r="G96" s="19" t="s">
        <v>15</v>
      </c>
      <c r="H96" s="21" t="s">
        <v>8</v>
      </c>
      <c r="I96" s="21">
        <v>0.14583333333333334</v>
      </c>
      <c r="J96" s="19"/>
      <c r="K96" s="22"/>
      <c r="L96" s="21"/>
      <c r="M96" s="19"/>
    </row>
    <row r="97" spans="2:13" ht="11.25" hidden="1" customHeight="1" x14ac:dyDescent="0.2">
      <c r="B97" s="19"/>
      <c r="C97" s="19"/>
      <c r="D97" s="9" t="s">
        <v>41</v>
      </c>
      <c r="E97" s="10"/>
      <c r="F97" s="10"/>
      <c r="G97" s="11" t="s">
        <v>81</v>
      </c>
      <c r="H97" s="12">
        <v>8.3333333333333329E-2</v>
      </c>
      <c r="I97" s="12">
        <f>0+I99</f>
        <v>0.20833333333333334</v>
      </c>
      <c r="J97" s="10" t="s">
        <v>3</v>
      </c>
      <c r="K97" s="29">
        <f>IF(J97="FINALIZADA",1,IF(H97&lt;I97,0.99,I97/IF(H97=0,1,H97)))</f>
        <v>1</v>
      </c>
      <c r="L97" s="21"/>
      <c r="M97" s="19"/>
    </row>
    <row r="98" spans="2:13" s="3" customFormat="1" ht="11.25" hidden="1" customHeight="1" x14ac:dyDescent="0.2">
      <c r="B98" s="19"/>
      <c r="C98" s="19"/>
      <c r="D98" s="19"/>
      <c r="E98" s="19"/>
      <c r="F98" s="30" t="s">
        <v>4</v>
      </c>
      <c r="G98" s="30" t="s">
        <v>5</v>
      </c>
      <c r="H98" s="31" t="s">
        <v>6</v>
      </c>
      <c r="I98" s="31" t="s">
        <v>32</v>
      </c>
      <c r="J98" s="19"/>
      <c r="K98" s="22"/>
      <c r="L98" s="21"/>
      <c r="M98" s="19"/>
    </row>
    <row r="99" spans="2:13" ht="11.25" hidden="1" customHeight="1" x14ac:dyDescent="0.2">
      <c r="B99" s="19"/>
      <c r="C99" s="19"/>
      <c r="D99" s="19"/>
      <c r="E99" s="19"/>
      <c r="F99" s="20">
        <v>42682</v>
      </c>
      <c r="G99" s="19" t="s">
        <v>15</v>
      </c>
      <c r="H99" s="21" t="s">
        <v>8</v>
      </c>
      <c r="I99" s="21">
        <v>0.20833333333333334</v>
      </c>
      <c r="J99" s="19"/>
      <c r="K99" s="22"/>
      <c r="L99" s="21"/>
      <c r="M99" s="19"/>
    </row>
    <row r="100" spans="2:13" hidden="1" x14ac:dyDescent="0.2">
      <c r="B100" s="19"/>
      <c r="C100" s="19"/>
      <c r="D100" s="9" t="s">
        <v>43</v>
      </c>
      <c r="E100" s="10"/>
      <c r="F100" s="10"/>
      <c r="G100" s="11" t="s">
        <v>63</v>
      </c>
      <c r="H100" s="12">
        <v>4.1666666666666664E-2</v>
      </c>
      <c r="I100" s="12">
        <f>0+I102</f>
        <v>8.3333333333333329E-2</v>
      </c>
      <c r="J100" s="10" t="s">
        <v>3</v>
      </c>
      <c r="K100" s="29">
        <f>IF(J100="FINALIZADA",1,IF(H100&lt;I100,0.99,I100/IF(H100=0,1,H100)))</f>
        <v>1</v>
      </c>
      <c r="L100" s="21"/>
      <c r="M100" s="19"/>
    </row>
    <row r="101" spans="2:13" ht="11.25" hidden="1" customHeight="1" x14ac:dyDescent="0.2">
      <c r="B101" s="19"/>
      <c r="C101" s="19"/>
      <c r="D101" s="19"/>
      <c r="E101" s="19"/>
      <c r="F101" s="30" t="s">
        <v>4</v>
      </c>
      <c r="G101" s="30" t="s">
        <v>5</v>
      </c>
      <c r="H101" s="31" t="s">
        <v>6</v>
      </c>
      <c r="I101" s="31" t="s">
        <v>32</v>
      </c>
      <c r="J101" s="19"/>
      <c r="K101" s="22"/>
      <c r="L101" s="21"/>
      <c r="M101" s="19"/>
    </row>
    <row r="102" spans="2:13" ht="11.25" hidden="1" customHeight="1" x14ac:dyDescent="0.2">
      <c r="B102" s="19"/>
      <c r="C102" s="19"/>
      <c r="D102" s="19"/>
      <c r="E102" s="19"/>
      <c r="F102" s="20">
        <v>42682</v>
      </c>
      <c r="G102" s="19" t="s">
        <v>15</v>
      </c>
      <c r="H102" s="21" t="s">
        <v>8</v>
      </c>
      <c r="I102" s="21">
        <v>8.3333333333333329E-2</v>
      </c>
      <c r="J102" s="19"/>
      <c r="K102" s="22"/>
      <c r="L102" s="21"/>
      <c r="M102" s="19"/>
    </row>
    <row r="103" spans="2:13" s="3" customFormat="1" ht="11.25" hidden="1" customHeight="1" x14ac:dyDescent="0.2">
      <c r="B103" s="19"/>
      <c r="C103" s="19"/>
      <c r="D103" s="19"/>
      <c r="E103" s="19"/>
      <c r="F103" s="20">
        <v>42682</v>
      </c>
      <c r="G103" s="19" t="s">
        <v>15</v>
      </c>
      <c r="H103" s="21" t="s">
        <v>8</v>
      </c>
      <c r="I103" s="21">
        <v>0</v>
      </c>
      <c r="J103" s="19"/>
      <c r="K103" s="22"/>
      <c r="L103" s="21"/>
      <c r="M103" s="19"/>
    </row>
    <row r="104" spans="2:13" ht="11.25" customHeight="1" x14ac:dyDescent="0.2">
      <c r="B104" s="6">
        <v>26822</v>
      </c>
      <c r="C104" s="1" t="s">
        <v>82</v>
      </c>
      <c r="D104" s="1" t="s">
        <v>83</v>
      </c>
      <c r="E104" s="1" t="s">
        <v>84</v>
      </c>
      <c r="F104" s="5">
        <v>42692</v>
      </c>
      <c r="G104" s="1" t="s">
        <v>85</v>
      </c>
      <c r="H104" s="23">
        <f>0+H105</f>
        <v>0.34375</v>
      </c>
      <c r="I104" s="23">
        <f>0+I105</f>
        <v>1.2604166666666665</v>
      </c>
      <c r="J104" s="1" t="s">
        <v>11</v>
      </c>
      <c r="K104" s="24">
        <f>(0+H105*K105)/IF(H104=0,1,H104)</f>
        <v>0.9900000000000001</v>
      </c>
      <c r="L104" s="25">
        <f>(1-K104)*H104</f>
        <v>3.4374999999999649E-3</v>
      </c>
      <c r="M104" s="26"/>
    </row>
    <row r="105" spans="2:13" ht="11.25" hidden="1" customHeight="1" x14ac:dyDescent="0.2">
      <c r="B105" s="19"/>
      <c r="C105" s="8" t="s">
        <v>82</v>
      </c>
      <c r="D105" s="7"/>
      <c r="E105" s="7" t="s">
        <v>86</v>
      </c>
      <c r="F105" s="7"/>
      <c r="G105" s="7"/>
      <c r="H105" s="27">
        <f>0+H106</f>
        <v>0.34375</v>
      </c>
      <c r="I105" s="27">
        <f>0+I106</f>
        <v>1.2604166666666665</v>
      </c>
      <c r="J105" s="7" t="s">
        <v>11</v>
      </c>
      <c r="K105" s="28">
        <f>(0+H106*K106)/IF(H105=0,1,H105)</f>
        <v>0.9900000000000001</v>
      </c>
      <c r="L105" s="21"/>
      <c r="M105" s="19"/>
    </row>
    <row r="106" spans="2:13" ht="11.25" hidden="1" customHeight="1" x14ac:dyDescent="0.2">
      <c r="B106" s="19"/>
      <c r="C106" s="19"/>
      <c r="D106" s="9" t="s">
        <v>29</v>
      </c>
      <c r="E106" s="10"/>
      <c r="F106" s="10"/>
      <c r="G106" s="11" t="s">
        <v>87</v>
      </c>
      <c r="H106" s="12">
        <v>0.34375</v>
      </c>
      <c r="I106" s="12">
        <f>0+I108+I109+I110+I111+I112</f>
        <v>1.2604166666666665</v>
      </c>
      <c r="J106" s="10" t="s">
        <v>11</v>
      </c>
      <c r="K106" s="29">
        <f>IF(J106="FINALIZADA",1,IF(H106&lt;I106,0.99,I106/IF(H106=0,1,H106)))</f>
        <v>0.99</v>
      </c>
      <c r="L106" s="21"/>
      <c r="M106" s="19"/>
    </row>
    <row r="107" spans="2:13" s="3" customFormat="1" ht="11.25" hidden="1" customHeight="1" x14ac:dyDescent="0.2">
      <c r="B107" s="19"/>
      <c r="C107" s="19"/>
      <c r="D107" s="19"/>
      <c r="E107" s="19"/>
      <c r="F107" s="30" t="s">
        <v>4</v>
      </c>
      <c r="G107" s="30" t="s">
        <v>5</v>
      </c>
      <c r="H107" s="31" t="s">
        <v>6</v>
      </c>
      <c r="I107" s="31" t="s">
        <v>32</v>
      </c>
      <c r="J107" s="19"/>
      <c r="K107" s="22"/>
      <c r="L107" s="21"/>
      <c r="M107" s="19"/>
    </row>
    <row r="108" spans="2:13" ht="11.25" hidden="1" customHeight="1" x14ac:dyDescent="0.2">
      <c r="B108" s="19"/>
      <c r="C108" s="19"/>
      <c r="D108" s="19"/>
      <c r="E108" s="19"/>
      <c r="F108" s="20">
        <v>42690</v>
      </c>
      <c r="G108" s="19" t="s">
        <v>13</v>
      </c>
      <c r="H108" s="21" t="s">
        <v>8</v>
      </c>
      <c r="I108" s="21">
        <v>0.34375</v>
      </c>
      <c r="J108" s="19"/>
      <c r="K108" s="22"/>
      <c r="L108" s="21"/>
      <c r="M108" s="19"/>
    </row>
    <row r="109" spans="2:13" ht="11.25" hidden="1" customHeight="1" x14ac:dyDescent="0.2">
      <c r="B109" s="19"/>
      <c r="C109" s="19"/>
      <c r="D109" s="19"/>
      <c r="E109" s="19"/>
      <c r="F109" s="20">
        <v>42690</v>
      </c>
      <c r="G109" s="19" t="s">
        <v>13</v>
      </c>
      <c r="H109" s="21" t="s">
        <v>14</v>
      </c>
      <c r="I109" s="21">
        <v>0.25</v>
      </c>
      <c r="J109" s="19"/>
      <c r="K109" s="22"/>
      <c r="L109" s="21"/>
      <c r="M109" s="19"/>
    </row>
    <row r="110" spans="2:13" s="3" customFormat="1" ht="11.25" hidden="1" customHeight="1" x14ac:dyDescent="0.2">
      <c r="B110" s="19"/>
      <c r="C110" s="19"/>
      <c r="D110" s="19"/>
      <c r="E110" s="19"/>
      <c r="F110" s="20">
        <v>42691</v>
      </c>
      <c r="G110" s="19" t="s">
        <v>13</v>
      </c>
      <c r="H110" s="21" t="s">
        <v>14</v>
      </c>
      <c r="I110" s="21">
        <v>0.22916666666666666</v>
      </c>
      <c r="J110" s="19"/>
      <c r="K110" s="22"/>
      <c r="L110" s="21"/>
      <c r="M110" s="19"/>
    </row>
    <row r="111" spans="2:13" ht="11.25" hidden="1" customHeight="1" x14ac:dyDescent="0.2">
      <c r="B111" s="19"/>
      <c r="C111" s="19"/>
      <c r="D111" s="19"/>
      <c r="E111" s="19"/>
      <c r="F111" s="20">
        <v>42691</v>
      </c>
      <c r="G111" s="19" t="s">
        <v>13</v>
      </c>
      <c r="H111" s="21" t="s">
        <v>8</v>
      </c>
      <c r="I111" s="21">
        <v>0.34375</v>
      </c>
      <c r="J111" s="19"/>
      <c r="K111" s="22"/>
      <c r="L111" s="21"/>
      <c r="M111" s="19"/>
    </row>
    <row r="112" spans="2:13" ht="11.25" hidden="1" customHeight="1" x14ac:dyDescent="0.2">
      <c r="B112" s="19"/>
      <c r="C112" s="19"/>
      <c r="D112" s="19"/>
      <c r="E112" s="19"/>
      <c r="F112" s="20">
        <v>42692</v>
      </c>
      <c r="G112" s="19" t="s">
        <v>13</v>
      </c>
      <c r="H112" s="21" t="s">
        <v>8</v>
      </c>
      <c r="I112" s="21">
        <v>9.375E-2</v>
      </c>
      <c r="J112" s="19"/>
      <c r="K112" s="22"/>
      <c r="L112" s="21"/>
      <c r="M112" s="19"/>
    </row>
    <row r="113" spans="2:13" s="3" customFormat="1" ht="11.25" customHeight="1" x14ac:dyDescent="0.2">
      <c r="B113" s="6">
        <v>26826</v>
      </c>
      <c r="C113" s="1" t="s">
        <v>88</v>
      </c>
      <c r="D113" s="1" t="s">
        <v>83</v>
      </c>
      <c r="E113" s="1" t="s">
        <v>89</v>
      </c>
      <c r="F113" s="5">
        <v>42691</v>
      </c>
      <c r="G113" s="1" t="s">
        <v>90</v>
      </c>
      <c r="H113" s="23">
        <f>0+H114</f>
        <v>0.34375</v>
      </c>
      <c r="I113" s="23">
        <f>0+I114</f>
        <v>0.21875</v>
      </c>
      <c r="J113" s="1" t="s">
        <v>11</v>
      </c>
      <c r="K113" s="24">
        <f>(0+H114*K114)/IF(H113=0,1,H113)</f>
        <v>0.63636363636363635</v>
      </c>
      <c r="L113" s="25">
        <f>(1-K113)*H113</f>
        <v>0.125</v>
      </c>
      <c r="M113" s="26"/>
    </row>
    <row r="114" spans="2:13" ht="11.25" hidden="1" customHeight="1" x14ac:dyDescent="0.2">
      <c r="B114" s="19"/>
      <c r="C114" s="8" t="s">
        <v>88</v>
      </c>
      <c r="D114" s="7"/>
      <c r="E114" s="7" t="s">
        <v>91</v>
      </c>
      <c r="F114" s="7"/>
      <c r="G114" s="7"/>
      <c r="H114" s="27">
        <f>0+H115</f>
        <v>0.34375</v>
      </c>
      <c r="I114" s="27">
        <f>0+I115</f>
        <v>0.21875</v>
      </c>
      <c r="J114" s="7" t="s">
        <v>92</v>
      </c>
      <c r="K114" s="28">
        <f>(0+H115*K115)/IF(H114=0,1,H114)</f>
        <v>0.63636363636363635</v>
      </c>
      <c r="L114" s="21"/>
      <c r="M114" s="19"/>
    </row>
    <row r="115" spans="2:13" hidden="1" x14ac:dyDescent="0.2">
      <c r="B115" s="19"/>
      <c r="C115" s="19"/>
      <c r="D115" s="9" t="s">
        <v>29</v>
      </c>
      <c r="E115" s="10"/>
      <c r="F115" s="10"/>
      <c r="G115" s="11" t="s">
        <v>75</v>
      </c>
      <c r="H115" s="12">
        <v>0.34375</v>
      </c>
      <c r="I115" s="12">
        <f>0+I117</f>
        <v>0.21875</v>
      </c>
      <c r="J115" s="10" t="s">
        <v>11</v>
      </c>
      <c r="K115" s="29">
        <f>IF(J115="FINALIZADA",1,IF(H115&lt;I115,0.99,I115/IF(H115=0,1,H115)))</f>
        <v>0.63636363636363635</v>
      </c>
      <c r="L115" s="21"/>
      <c r="M115" s="19"/>
    </row>
    <row r="116" spans="2:13" ht="11.25" hidden="1" customHeight="1" x14ac:dyDescent="0.2">
      <c r="B116" s="19"/>
      <c r="C116" s="19"/>
      <c r="D116" s="19"/>
      <c r="E116" s="19"/>
      <c r="F116" s="30" t="s">
        <v>4</v>
      </c>
      <c r="G116" s="30" t="s">
        <v>5</v>
      </c>
      <c r="H116" s="31" t="s">
        <v>6</v>
      </c>
      <c r="I116" s="31" t="s">
        <v>32</v>
      </c>
      <c r="J116" s="19"/>
      <c r="K116" s="22"/>
      <c r="L116" s="21"/>
      <c r="M116" s="19"/>
    </row>
    <row r="117" spans="2:13" ht="11.25" hidden="1" customHeight="1" x14ac:dyDescent="0.2">
      <c r="B117" s="19"/>
      <c r="C117" s="19"/>
      <c r="D117" s="19"/>
      <c r="E117" s="19"/>
      <c r="F117" s="20">
        <v>42691</v>
      </c>
      <c r="G117" s="19" t="s">
        <v>7</v>
      </c>
      <c r="H117" s="21" t="s">
        <v>8</v>
      </c>
      <c r="I117" s="21">
        <v>0.21875</v>
      </c>
      <c r="J117" s="19"/>
      <c r="K117" s="22"/>
      <c r="L117" s="21"/>
      <c r="M117" s="19"/>
    </row>
    <row r="118" spans="2:13" s="3" customFormat="1" ht="11.25" customHeight="1" x14ac:dyDescent="0.2">
      <c r="B118" s="6">
        <v>26827</v>
      </c>
      <c r="C118" s="1" t="s">
        <v>93</v>
      </c>
      <c r="D118" s="1" t="s">
        <v>83</v>
      </c>
      <c r="E118" s="1" t="s">
        <v>94</v>
      </c>
      <c r="F118" s="5">
        <v>42692</v>
      </c>
      <c r="G118" s="1" t="s">
        <v>90</v>
      </c>
      <c r="H118" s="23">
        <f>0+H119</f>
        <v>0.34375</v>
      </c>
      <c r="I118" s="23">
        <f>0+I119</f>
        <v>0.21875</v>
      </c>
      <c r="J118" s="1" t="s">
        <v>11</v>
      </c>
      <c r="K118" s="24">
        <f>(0+H119*K119)/IF(H118=0,1,H118)</f>
        <v>0.63636363636363635</v>
      </c>
      <c r="L118" s="25">
        <f>(1-K118)*H118</f>
        <v>0.125</v>
      </c>
      <c r="M118" s="26"/>
    </row>
    <row r="119" spans="2:13" ht="11.25" hidden="1" customHeight="1" x14ac:dyDescent="0.2">
      <c r="B119" s="19"/>
      <c r="C119" s="8" t="s">
        <v>93</v>
      </c>
      <c r="D119" s="7"/>
      <c r="E119" s="7" t="s">
        <v>91</v>
      </c>
      <c r="F119" s="7"/>
      <c r="G119" s="7"/>
      <c r="H119" s="27">
        <f>0+H120</f>
        <v>0.34375</v>
      </c>
      <c r="I119" s="27">
        <f>0+I120</f>
        <v>0.21875</v>
      </c>
      <c r="J119" s="7" t="s">
        <v>28</v>
      </c>
      <c r="K119" s="28">
        <f>(0+H120*K120)/IF(H119=0,1,H119)</f>
        <v>0.63636363636363635</v>
      </c>
      <c r="L119" s="21"/>
      <c r="M119" s="19"/>
    </row>
    <row r="120" spans="2:13" ht="11.25" hidden="1" customHeight="1" x14ac:dyDescent="0.2">
      <c r="B120" s="19"/>
      <c r="C120" s="19"/>
      <c r="D120" s="9" t="s">
        <v>29</v>
      </c>
      <c r="E120" s="10"/>
      <c r="F120" s="10"/>
      <c r="G120" s="11" t="s">
        <v>75</v>
      </c>
      <c r="H120" s="12">
        <v>0.34375</v>
      </c>
      <c r="I120" s="12">
        <f>0+I122</f>
        <v>0.21875</v>
      </c>
      <c r="J120" s="10" t="s">
        <v>11</v>
      </c>
      <c r="K120" s="29">
        <f>IF(J120="FINALIZADA",1,IF(H120&lt;I120,0.99,I120/IF(H120=0,1,H120)))</f>
        <v>0.63636363636363635</v>
      </c>
      <c r="L120" s="21"/>
      <c r="M120" s="19"/>
    </row>
    <row r="121" spans="2:13" ht="11.25" hidden="1" customHeight="1" x14ac:dyDescent="0.2">
      <c r="B121" s="19"/>
      <c r="C121" s="19"/>
      <c r="D121" s="19"/>
      <c r="E121" s="19"/>
      <c r="F121" s="30" t="s">
        <v>4</v>
      </c>
      <c r="G121" s="30" t="s">
        <v>5</v>
      </c>
      <c r="H121" s="31" t="s">
        <v>6</v>
      </c>
      <c r="I121" s="31" t="s">
        <v>32</v>
      </c>
      <c r="J121" s="19"/>
      <c r="K121" s="22"/>
      <c r="L121" s="21"/>
      <c r="M121" s="19"/>
    </row>
    <row r="122" spans="2:13" s="3" customFormat="1" ht="11.25" hidden="1" customHeight="1" x14ac:dyDescent="0.2">
      <c r="B122" s="19"/>
      <c r="C122" s="19"/>
      <c r="D122" s="19"/>
      <c r="E122" s="19"/>
      <c r="F122" s="20">
        <v>42692</v>
      </c>
      <c r="G122" s="19" t="s">
        <v>12</v>
      </c>
      <c r="H122" s="21" t="s">
        <v>8</v>
      </c>
      <c r="I122" s="21">
        <v>0.21875</v>
      </c>
      <c r="J122" s="19"/>
      <c r="K122" s="22"/>
      <c r="L122" s="21"/>
      <c r="M122" s="19"/>
    </row>
    <row r="123" spans="2:13" ht="11.25" customHeight="1" x14ac:dyDescent="0.2">
      <c r="B123" s="6">
        <v>26828</v>
      </c>
      <c r="C123" s="1" t="s">
        <v>95</v>
      </c>
      <c r="D123" s="1" t="s">
        <v>83</v>
      </c>
      <c r="E123" s="1" t="s">
        <v>96</v>
      </c>
      <c r="F123" s="5">
        <v>42690</v>
      </c>
      <c r="G123" s="1" t="s">
        <v>97</v>
      </c>
      <c r="H123" s="23">
        <f>0+H124</f>
        <v>0.35416666666666663</v>
      </c>
      <c r="I123" s="23">
        <f>0+I124</f>
        <v>0.13541666666666666</v>
      </c>
      <c r="J123" s="1" t="s">
        <v>11</v>
      </c>
      <c r="K123" s="24">
        <f>(0+H124*K124)/IF(H123=0,1,H123)</f>
        <v>0.38235294117647062</v>
      </c>
      <c r="L123" s="25">
        <f>(1-K123)*H123</f>
        <v>0.21875</v>
      </c>
      <c r="M123" s="26"/>
    </row>
    <row r="124" spans="2:13" ht="11.25" hidden="1" customHeight="1" x14ac:dyDescent="0.2">
      <c r="B124" s="19"/>
      <c r="C124" s="8" t="s">
        <v>95</v>
      </c>
      <c r="D124" s="7"/>
      <c r="E124" s="7" t="s">
        <v>98</v>
      </c>
      <c r="F124" s="7"/>
      <c r="G124" s="7"/>
      <c r="H124" s="27">
        <f>0+H125+H128+H131</f>
        <v>0.35416666666666663</v>
      </c>
      <c r="I124" s="27">
        <f>0+I125+I128+I131</f>
        <v>0.13541666666666666</v>
      </c>
      <c r="J124" s="7" t="s">
        <v>11</v>
      </c>
      <c r="K124" s="28">
        <f>(0+H125*K125+H128*K128+H131*K131)/IF(H124=0,1,H124)</f>
        <v>0.38235294117647062</v>
      </c>
      <c r="L124" s="21"/>
      <c r="M124" s="19"/>
    </row>
    <row r="125" spans="2:13" ht="11.25" hidden="1" customHeight="1" x14ac:dyDescent="0.2">
      <c r="B125" s="19"/>
      <c r="C125" s="19"/>
      <c r="D125" s="9" t="s">
        <v>29</v>
      </c>
      <c r="E125" s="10"/>
      <c r="F125" s="10"/>
      <c r="G125" s="11" t="s">
        <v>99</v>
      </c>
      <c r="H125" s="12">
        <v>0.16666666666666666</v>
      </c>
      <c r="I125" s="12">
        <f>0+I127</f>
        <v>0.13541666666666666</v>
      </c>
      <c r="J125" s="10" t="s">
        <v>11</v>
      </c>
      <c r="K125" s="29">
        <f>IF(J125="FINALIZADA",1,IF(H125&lt;I125,0.99,I125/IF(H125=0,1,H125)))</f>
        <v>0.8125</v>
      </c>
      <c r="L125" s="21"/>
      <c r="M125" s="19"/>
    </row>
    <row r="126" spans="2:13" ht="11.25" hidden="1" customHeight="1" x14ac:dyDescent="0.2">
      <c r="B126" s="19"/>
      <c r="C126" s="19"/>
      <c r="D126" s="19"/>
      <c r="E126" s="19"/>
      <c r="F126" s="30" t="s">
        <v>4</v>
      </c>
      <c r="G126" s="30" t="s">
        <v>5</v>
      </c>
      <c r="H126" s="31" t="s">
        <v>6</v>
      </c>
      <c r="I126" s="31" t="s">
        <v>32</v>
      </c>
      <c r="J126" s="19"/>
      <c r="K126" s="22"/>
      <c r="L126" s="21"/>
      <c r="M126" s="19"/>
    </row>
    <row r="127" spans="2:13" ht="11.25" hidden="1" customHeight="1" x14ac:dyDescent="0.2">
      <c r="B127" s="19"/>
      <c r="C127" s="19"/>
      <c r="D127" s="19"/>
      <c r="E127" s="19"/>
      <c r="F127" s="20">
        <v>42690</v>
      </c>
      <c r="G127" s="19" t="s">
        <v>7</v>
      </c>
      <c r="H127" s="21" t="s">
        <v>8</v>
      </c>
      <c r="I127" s="21">
        <v>0.13541666666666666</v>
      </c>
      <c r="J127" s="19"/>
      <c r="K127" s="22"/>
      <c r="L127" s="21"/>
      <c r="M127" s="19"/>
    </row>
    <row r="128" spans="2:13" ht="11.25" hidden="1" customHeight="1" x14ac:dyDescent="0.2">
      <c r="B128" s="19"/>
      <c r="C128" s="19"/>
      <c r="D128" s="9" t="s">
        <v>41</v>
      </c>
      <c r="E128" s="10"/>
      <c r="F128" s="10"/>
      <c r="G128" s="11" t="s">
        <v>100</v>
      </c>
      <c r="H128" s="12">
        <v>0.16666666666666666</v>
      </c>
      <c r="I128" s="12">
        <f>0</f>
        <v>0</v>
      </c>
      <c r="J128" s="10" t="s">
        <v>10</v>
      </c>
      <c r="K128" s="29">
        <f>IF(J128="FINALIZADA",1,IF(H128&lt;I128,0.99,I128/IF(H128=0,1,H128)))</f>
        <v>0</v>
      </c>
      <c r="L128" s="21"/>
      <c r="M128" s="19"/>
    </row>
    <row r="129" spans="2:13" s="3" customFormat="1" ht="11.25" hidden="1" customHeight="1" x14ac:dyDescent="0.2">
      <c r="B129" s="19"/>
      <c r="C129" s="19"/>
      <c r="D129" s="19"/>
      <c r="E129" s="19"/>
      <c r="F129" s="30" t="s">
        <v>4</v>
      </c>
      <c r="G129" s="30" t="s">
        <v>5</v>
      </c>
      <c r="H129" s="31" t="s">
        <v>6</v>
      </c>
      <c r="I129" s="31" t="s">
        <v>32</v>
      </c>
      <c r="J129" s="19"/>
      <c r="K129" s="22"/>
      <c r="L129" s="21"/>
      <c r="M129" s="19"/>
    </row>
    <row r="130" spans="2:13" ht="11.25" hidden="1" customHeight="1" x14ac:dyDescent="0.2">
      <c r="B130" s="19"/>
      <c r="C130" s="19"/>
      <c r="D130" s="19"/>
      <c r="E130" s="19"/>
      <c r="F130" s="19" t="s">
        <v>33</v>
      </c>
      <c r="G130" s="19" t="s">
        <v>34</v>
      </c>
      <c r="H130" s="21" t="s">
        <v>35</v>
      </c>
      <c r="I130" s="21" t="s">
        <v>36</v>
      </c>
      <c r="J130" s="19"/>
      <c r="K130" s="22"/>
      <c r="L130" s="21"/>
      <c r="M130" s="19"/>
    </row>
    <row r="131" spans="2:13" ht="11.25" hidden="1" customHeight="1" x14ac:dyDescent="0.2">
      <c r="B131" s="19"/>
      <c r="C131" s="19"/>
      <c r="D131" s="9" t="s">
        <v>43</v>
      </c>
      <c r="E131" s="10"/>
      <c r="F131" s="10"/>
      <c r="G131" s="11" t="s">
        <v>101</v>
      </c>
      <c r="H131" s="12">
        <v>2.0833333333333332E-2</v>
      </c>
      <c r="I131" s="12">
        <f>0</f>
        <v>0</v>
      </c>
      <c r="J131" s="10" t="s">
        <v>10</v>
      </c>
      <c r="K131" s="29">
        <f>IF(J131="FINALIZADA",1,IF(H131&lt;I131,0.99,I131/IF(H131=0,1,H131)))</f>
        <v>0</v>
      </c>
      <c r="L131" s="21"/>
      <c r="M131" s="19"/>
    </row>
    <row r="132" spans="2:13" ht="11.25" hidden="1" customHeight="1" x14ac:dyDescent="0.2">
      <c r="B132" s="19"/>
      <c r="C132" s="19"/>
      <c r="D132" s="19"/>
      <c r="E132" s="19"/>
      <c r="F132" s="30" t="s">
        <v>4</v>
      </c>
      <c r="G132" s="30" t="s">
        <v>5</v>
      </c>
      <c r="H132" s="31" t="s">
        <v>6</v>
      </c>
      <c r="I132" s="31" t="s">
        <v>32</v>
      </c>
      <c r="J132" s="19"/>
      <c r="K132" s="22"/>
      <c r="L132" s="21"/>
      <c r="M132" s="19"/>
    </row>
    <row r="133" spans="2:13" ht="11.25" hidden="1" customHeight="1" x14ac:dyDescent="0.2">
      <c r="B133" s="19"/>
      <c r="C133" s="19"/>
      <c r="D133" s="19"/>
      <c r="E133" s="19"/>
      <c r="F133" s="19" t="s">
        <v>33</v>
      </c>
      <c r="G133" s="19" t="s">
        <v>34</v>
      </c>
      <c r="H133" s="21" t="s">
        <v>35</v>
      </c>
      <c r="I133" s="21" t="s">
        <v>36</v>
      </c>
      <c r="J133" s="19"/>
      <c r="K133" s="22"/>
      <c r="L133" s="21"/>
      <c r="M133" s="19"/>
    </row>
    <row r="134" spans="2:13" s="3" customFormat="1" ht="11.25" customHeight="1" x14ac:dyDescent="0.2">
      <c r="B134" s="6">
        <v>26617</v>
      </c>
      <c r="C134" s="1" t="s">
        <v>102</v>
      </c>
      <c r="D134" s="1" t="s">
        <v>103</v>
      </c>
      <c r="E134" s="1" t="s">
        <v>104</v>
      </c>
      <c r="F134" s="5">
        <v>42690</v>
      </c>
      <c r="G134" s="1" t="s">
        <v>105</v>
      </c>
      <c r="H134" s="23">
        <f>0+H135+H145+H155</f>
        <v>1.8125</v>
      </c>
      <c r="I134" s="23">
        <f>0+I135+I145+I155</f>
        <v>0.39583333333333331</v>
      </c>
      <c r="J134" s="1" t="s">
        <v>11</v>
      </c>
      <c r="K134" s="24">
        <f>(0+H135*K135+H145*K145+H155*K155)/IF(H134=0,1,H134)</f>
        <v>0.37931034482758619</v>
      </c>
      <c r="L134" s="25">
        <f>(1-K134)*H134</f>
        <v>1.125</v>
      </c>
      <c r="M134" s="26"/>
    </row>
    <row r="135" spans="2:13" ht="11.25" hidden="1" customHeight="1" x14ac:dyDescent="0.2">
      <c r="B135" s="19"/>
      <c r="C135" s="8" t="s">
        <v>106</v>
      </c>
      <c r="D135" s="7"/>
      <c r="E135" s="7" t="s">
        <v>107</v>
      </c>
      <c r="F135" s="7"/>
      <c r="G135" s="7"/>
      <c r="H135" s="27">
        <f>0+H136+H139+H142</f>
        <v>0.16666666666666666</v>
      </c>
      <c r="I135" s="27">
        <f>0+I136+I139+I142</f>
        <v>0</v>
      </c>
      <c r="J135" s="7" t="s">
        <v>3</v>
      </c>
      <c r="K135" s="28">
        <f>(0+H136*K136+H139*K139+H142*K142)/IF(H135=0,1,H135)</f>
        <v>1</v>
      </c>
      <c r="L135" s="21"/>
      <c r="M135" s="19"/>
    </row>
    <row r="136" spans="2:13" ht="11.25" hidden="1" customHeight="1" x14ac:dyDescent="0.2">
      <c r="B136" s="19"/>
      <c r="C136" s="19"/>
      <c r="D136" s="9" t="s">
        <v>29</v>
      </c>
      <c r="E136" s="10"/>
      <c r="F136" s="10"/>
      <c r="G136" s="11" t="s">
        <v>108</v>
      </c>
      <c r="H136" s="12">
        <v>4.1666666666666664E-2</v>
      </c>
      <c r="I136" s="12">
        <f>0</f>
        <v>0</v>
      </c>
      <c r="J136" s="10" t="s">
        <v>3</v>
      </c>
      <c r="K136" s="29">
        <f>IF(J136="FINALIZADA",1,IF(H136&lt;I136,0.99,I136/IF(H136=0,1,H136)))</f>
        <v>1</v>
      </c>
      <c r="L136" s="21"/>
      <c r="M136" s="19"/>
    </row>
    <row r="137" spans="2:13" s="3" customFormat="1" ht="11.25" hidden="1" customHeight="1" x14ac:dyDescent="0.2">
      <c r="B137" s="19"/>
      <c r="C137" s="19"/>
      <c r="D137" s="19"/>
      <c r="E137" s="19"/>
      <c r="F137" s="30" t="s">
        <v>4</v>
      </c>
      <c r="G137" s="30" t="s">
        <v>5</v>
      </c>
      <c r="H137" s="31" t="s">
        <v>6</v>
      </c>
      <c r="I137" s="31" t="s">
        <v>32</v>
      </c>
      <c r="J137" s="19"/>
      <c r="K137" s="22"/>
      <c r="L137" s="21"/>
      <c r="M137" s="19"/>
    </row>
    <row r="138" spans="2:13" ht="11.25" hidden="1" customHeight="1" x14ac:dyDescent="0.2">
      <c r="B138" s="19"/>
      <c r="C138" s="19"/>
      <c r="D138" s="19"/>
      <c r="E138" s="19"/>
      <c r="F138" s="19" t="s">
        <v>33</v>
      </c>
      <c r="G138" s="19" t="s">
        <v>34</v>
      </c>
      <c r="H138" s="21" t="s">
        <v>35</v>
      </c>
      <c r="I138" s="21" t="s">
        <v>36</v>
      </c>
      <c r="J138" s="19"/>
      <c r="K138" s="22"/>
      <c r="L138" s="21"/>
      <c r="M138" s="19"/>
    </row>
    <row r="139" spans="2:13" ht="11.25" hidden="1" customHeight="1" x14ac:dyDescent="0.2">
      <c r="B139" s="19"/>
      <c r="C139" s="19"/>
      <c r="D139" s="9" t="s">
        <v>41</v>
      </c>
      <c r="E139" s="10"/>
      <c r="F139" s="10"/>
      <c r="G139" s="11" t="s">
        <v>109</v>
      </c>
      <c r="H139" s="12">
        <v>8.3333333333333329E-2</v>
      </c>
      <c r="I139" s="12">
        <f>0</f>
        <v>0</v>
      </c>
      <c r="J139" s="10" t="s">
        <v>3</v>
      </c>
      <c r="K139" s="29">
        <f>IF(J139="FINALIZADA",1,IF(H139&lt;I139,0.99,I139/IF(H139=0,1,H139)))</f>
        <v>1</v>
      </c>
      <c r="L139" s="21"/>
      <c r="M139" s="19"/>
    </row>
    <row r="140" spans="2:13" s="3" customFormat="1" ht="11.25" hidden="1" customHeight="1" x14ac:dyDescent="0.2">
      <c r="B140" s="19"/>
      <c r="C140" s="19"/>
      <c r="D140" s="19"/>
      <c r="E140" s="19"/>
      <c r="F140" s="30" t="s">
        <v>4</v>
      </c>
      <c r="G140" s="30" t="s">
        <v>5</v>
      </c>
      <c r="H140" s="31" t="s">
        <v>6</v>
      </c>
      <c r="I140" s="31" t="s">
        <v>32</v>
      </c>
      <c r="J140" s="19"/>
      <c r="K140" s="22"/>
      <c r="L140" s="21"/>
      <c r="M140" s="19"/>
    </row>
    <row r="141" spans="2:13" ht="11.25" hidden="1" customHeight="1" x14ac:dyDescent="0.2">
      <c r="B141" s="19"/>
      <c r="C141" s="19"/>
      <c r="D141" s="19"/>
      <c r="E141" s="19"/>
      <c r="F141" s="19" t="s">
        <v>33</v>
      </c>
      <c r="G141" s="19" t="s">
        <v>34</v>
      </c>
      <c r="H141" s="21" t="s">
        <v>35</v>
      </c>
      <c r="I141" s="21" t="s">
        <v>36</v>
      </c>
      <c r="J141" s="19"/>
      <c r="K141" s="22"/>
      <c r="L141" s="21"/>
      <c r="M141" s="19"/>
    </row>
    <row r="142" spans="2:13" ht="11.25" hidden="1" customHeight="1" x14ac:dyDescent="0.2">
      <c r="B142" s="19"/>
      <c r="C142" s="19"/>
      <c r="D142" s="9" t="s">
        <v>43</v>
      </c>
      <c r="E142" s="10"/>
      <c r="F142" s="10"/>
      <c r="G142" s="11" t="s">
        <v>110</v>
      </c>
      <c r="H142" s="12">
        <v>4.1666666666666664E-2</v>
      </c>
      <c r="I142" s="12">
        <f>0</f>
        <v>0</v>
      </c>
      <c r="J142" s="10" t="s">
        <v>3</v>
      </c>
      <c r="K142" s="29">
        <f>IF(J142="FINALIZADA",1,IF(H142&lt;I142,0.99,I142/IF(H142=0,1,H142)))</f>
        <v>1</v>
      </c>
      <c r="L142" s="21"/>
      <c r="M142" s="19"/>
    </row>
    <row r="143" spans="2:13" s="3" customFormat="1" ht="11.25" hidden="1" customHeight="1" x14ac:dyDescent="0.2">
      <c r="B143" s="19"/>
      <c r="C143" s="19"/>
      <c r="D143" s="19"/>
      <c r="E143" s="19"/>
      <c r="F143" s="30" t="s">
        <v>4</v>
      </c>
      <c r="G143" s="30" t="s">
        <v>5</v>
      </c>
      <c r="H143" s="31" t="s">
        <v>6</v>
      </c>
      <c r="I143" s="31" t="s">
        <v>32</v>
      </c>
      <c r="J143" s="19"/>
      <c r="K143" s="22"/>
      <c r="L143" s="21"/>
      <c r="M143" s="19"/>
    </row>
    <row r="144" spans="2:13" ht="11.25" hidden="1" customHeight="1" x14ac:dyDescent="0.2">
      <c r="B144" s="19"/>
      <c r="C144" s="19"/>
      <c r="D144" s="19"/>
      <c r="E144" s="19"/>
      <c r="F144" s="19" t="s">
        <v>33</v>
      </c>
      <c r="G144" s="19" t="s">
        <v>34</v>
      </c>
      <c r="H144" s="21" t="s">
        <v>35</v>
      </c>
      <c r="I144" s="21" t="s">
        <v>36</v>
      </c>
      <c r="J144" s="19"/>
      <c r="K144" s="22"/>
      <c r="L144" s="21"/>
      <c r="M144" s="19"/>
    </row>
    <row r="145" spans="2:13" ht="11.25" hidden="1" customHeight="1" x14ac:dyDescent="0.2">
      <c r="B145" s="19"/>
      <c r="C145" s="8" t="s">
        <v>111</v>
      </c>
      <c r="D145" s="7"/>
      <c r="E145" s="7" t="s">
        <v>112</v>
      </c>
      <c r="F145" s="7"/>
      <c r="G145" s="7"/>
      <c r="H145" s="27">
        <f>0+H146+H149+H152</f>
        <v>0.125</v>
      </c>
      <c r="I145" s="27">
        <f>0+I146+I149+I152</f>
        <v>0</v>
      </c>
      <c r="J145" s="7" t="s">
        <v>3</v>
      </c>
      <c r="K145" s="28">
        <f>(0+H146*K146+H149*K149+H152*K152)/IF(H145=0,1,H145)</f>
        <v>1</v>
      </c>
      <c r="L145" s="21"/>
      <c r="M145" s="19"/>
    </row>
    <row r="146" spans="2:13" s="3" customFormat="1" ht="11.25" hidden="1" customHeight="1" x14ac:dyDescent="0.2">
      <c r="B146" s="19"/>
      <c r="C146" s="19"/>
      <c r="D146" s="9" t="s">
        <v>29</v>
      </c>
      <c r="E146" s="10"/>
      <c r="F146" s="10"/>
      <c r="G146" s="11" t="s">
        <v>113</v>
      </c>
      <c r="H146" s="12">
        <v>4.1666666666666664E-2</v>
      </c>
      <c r="I146" s="12">
        <f>0</f>
        <v>0</v>
      </c>
      <c r="J146" s="10" t="s">
        <v>3</v>
      </c>
      <c r="K146" s="29">
        <f>IF(J146="FINALIZADA",1,IF(H146&lt;I146,0.99,I146/IF(H146=0,1,H146)))</f>
        <v>1</v>
      </c>
      <c r="L146" s="21"/>
      <c r="M146" s="19"/>
    </row>
    <row r="147" spans="2:13" ht="11.25" hidden="1" customHeight="1" x14ac:dyDescent="0.2">
      <c r="B147" s="19"/>
      <c r="C147" s="19"/>
      <c r="D147" s="19"/>
      <c r="E147" s="19"/>
      <c r="F147" s="30" t="s">
        <v>4</v>
      </c>
      <c r="G147" s="30" t="s">
        <v>5</v>
      </c>
      <c r="H147" s="31" t="s">
        <v>6</v>
      </c>
      <c r="I147" s="31" t="s">
        <v>32</v>
      </c>
      <c r="J147" s="19"/>
      <c r="K147" s="22"/>
      <c r="L147" s="21"/>
      <c r="M147" s="19"/>
    </row>
    <row r="148" spans="2:13" ht="11.25" hidden="1" customHeight="1" x14ac:dyDescent="0.2">
      <c r="B148" s="19"/>
      <c r="C148" s="19"/>
      <c r="D148" s="19"/>
      <c r="E148" s="19"/>
      <c r="F148" s="19" t="s">
        <v>33</v>
      </c>
      <c r="G148" s="19" t="s">
        <v>34</v>
      </c>
      <c r="H148" s="21" t="s">
        <v>35</v>
      </c>
      <c r="I148" s="21" t="s">
        <v>36</v>
      </c>
      <c r="J148" s="19"/>
      <c r="K148" s="22"/>
      <c r="L148" s="21"/>
      <c r="M148" s="19"/>
    </row>
    <row r="149" spans="2:13" s="3" customFormat="1" ht="11.25" hidden="1" customHeight="1" x14ac:dyDescent="0.2">
      <c r="B149" s="19"/>
      <c r="C149" s="19"/>
      <c r="D149" s="9" t="s">
        <v>41</v>
      </c>
      <c r="E149" s="10"/>
      <c r="F149" s="10"/>
      <c r="G149" s="11" t="s">
        <v>114</v>
      </c>
      <c r="H149" s="12">
        <v>4.1666666666666664E-2</v>
      </c>
      <c r="I149" s="12">
        <f>0</f>
        <v>0</v>
      </c>
      <c r="J149" s="10" t="s">
        <v>3</v>
      </c>
      <c r="K149" s="29">
        <f>IF(J149="FINALIZADA",1,IF(H149&lt;I149,0.99,I149/IF(H149=0,1,H149)))</f>
        <v>1</v>
      </c>
      <c r="L149" s="21"/>
      <c r="M149" s="19"/>
    </row>
    <row r="150" spans="2:13" ht="11.25" hidden="1" customHeight="1" x14ac:dyDescent="0.2">
      <c r="B150" s="19"/>
      <c r="C150" s="19"/>
      <c r="D150" s="19"/>
      <c r="E150" s="19"/>
      <c r="F150" s="30" t="s">
        <v>4</v>
      </c>
      <c r="G150" s="30" t="s">
        <v>5</v>
      </c>
      <c r="H150" s="31" t="s">
        <v>6</v>
      </c>
      <c r="I150" s="31" t="s">
        <v>32</v>
      </c>
      <c r="J150" s="19"/>
      <c r="K150" s="22"/>
      <c r="L150" s="21"/>
      <c r="M150" s="19"/>
    </row>
    <row r="151" spans="2:13" hidden="1" x14ac:dyDescent="0.2">
      <c r="B151" s="19"/>
      <c r="C151" s="19"/>
      <c r="D151" s="19"/>
      <c r="E151" s="19"/>
      <c r="F151" s="19" t="s">
        <v>33</v>
      </c>
      <c r="G151" s="19" t="s">
        <v>34</v>
      </c>
      <c r="H151" s="21" t="s">
        <v>35</v>
      </c>
      <c r="I151" s="21" t="s">
        <v>36</v>
      </c>
      <c r="J151" s="19"/>
      <c r="K151" s="22"/>
      <c r="L151" s="21"/>
      <c r="M151" s="19"/>
    </row>
    <row r="152" spans="2:13" ht="11.25" hidden="1" customHeight="1" x14ac:dyDescent="0.2">
      <c r="B152" s="19"/>
      <c r="C152" s="19"/>
      <c r="D152" s="9" t="s">
        <v>43</v>
      </c>
      <c r="E152" s="10"/>
      <c r="F152" s="10"/>
      <c r="G152" s="11" t="s">
        <v>115</v>
      </c>
      <c r="H152" s="12">
        <v>4.1666666666666664E-2</v>
      </c>
      <c r="I152" s="12">
        <f>0</f>
        <v>0</v>
      </c>
      <c r="J152" s="10" t="s">
        <v>3</v>
      </c>
      <c r="K152" s="29">
        <f>IF(J152="FINALIZADA",1,IF(H152&lt;I152,0.99,I152/IF(H152=0,1,H152)))</f>
        <v>1</v>
      </c>
      <c r="L152" s="21"/>
      <c r="M152" s="19"/>
    </row>
    <row r="153" spans="2:13" ht="11.25" hidden="1" customHeight="1" x14ac:dyDescent="0.2">
      <c r="B153" s="19"/>
      <c r="C153" s="19"/>
      <c r="D153" s="19"/>
      <c r="E153" s="19"/>
      <c r="F153" s="30" t="s">
        <v>4</v>
      </c>
      <c r="G153" s="30" t="s">
        <v>5</v>
      </c>
      <c r="H153" s="31" t="s">
        <v>6</v>
      </c>
      <c r="I153" s="31" t="s">
        <v>32</v>
      </c>
      <c r="J153" s="19"/>
      <c r="K153" s="22"/>
      <c r="L153" s="21"/>
      <c r="M153" s="19"/>
    </row>
    <row r="154" spans="2:13" s="3" customFormat="1" ht="11.25" hidden="1" customHeight="1" x14ac:dyDescent="0.2">
      <c r="B154" s="19"/>
      <c r="C154" s="19"/>
      <c r="D154" s="19"/>
      <c r="E154" s="19"/>
      <c r="F154" s="19" t="s">
        <v>33</v>
      </c>
      <c r="G154" s="19" t="s">
        <v>34</v>
      </c>
      <c r="H154" s="21" t="s">
        <v>35</v>
      </c>
      <c r="I154" s="21" t="s">
        <v>36</v>
      </c>
      <c r="J154" s="19"/>
      <c r="K154" s="22"/>
      <c r="L154" s="21"/>
      <c r="M154" s="19"/>
    </row>
    <row r="155" spans="2:13" ht="11.25" hidden="1" customHeight="1" x14ac:dyDescent="0.2">
      <c r="B155" s="19"/>
      <c r="C155" s="8" t="s">
        <v>102</v>
      </c>
      <c r="D155" s="7"/>
      <c r="E155" s="7" t="s">
        <v>116</v>
      </c>
      <c r="F155" s="7"/>
      <c r="G155" s="7"/>
      <c r="H155" s="27">
        <f>0+H156+H159+H162+H166+H169+H172+H175</f>
        <v>1.5208333333333333</v>
      </c>
      <c r="I155" s="27">
        <f>0+I156+I159+I162+I166+I169+I172+I175</f>
        <v>0.39583333333333331</v>
      </c>
      <c r="J155" s="7" t="s">
        <v>11</v>
      </c>
      <c r="K155" s="28">
        <f>(0+H156*K156+H159*K159+H162*K162+H166*K166+H169*K169+H172*K172+H175*K175)/IF(H155=0,1,H155)</f>
        <v>0.26027397260273971</v>
      </c>
      <c r="L155" s="21"/>
      <c r="M155" s="19"/>
    </row>
    <row r="156" spans="2:13" ht="11.25" hidden="1" customHeight="1" x14ac:dyDescent="0.2">
      <c r="B156" s="19"/>
      <c r="C156" s="19"/>
      <c r="D156" s="9" t="s">
        <v>29</v>
      </c>
      <c r="E156" s="10"/>
      <c r="F156" s="10"/>
      <c r="G156" s="11" t="s">
        <v>117</v>
      </c>
      <c r="H156" s="12">
        <v>8.3333333333333329E-2</v>
      </c>
      <c r="I156" s="12">
        <f>0+I158</f>
        <v>6.25E-2</v>
      </c>
      <c r="J156" s="10" t="s">
        <v>11</v>
      </c>
      <c r="K156" s="29">
        <f>IF(J156="FINALIZADA",1,IF(H156&lt;I156,0.99,I156/IF(H156=0,1,H156)))</f>
        <v>0.75</v>
      </c>
      <c r="L156" s="21"/>
      <c r="M156" s="19"/>
    </row>
    <row r="157" spans="2:13" s="3" customFormat="1" ht="11.25" hidden="1" customHeight="1" x14ac:dyDescent="0.2">
      <c r="B157" s="19"/>
      <c r="C157" s="19"/>
      <c r="D157" s="19"/>
      <c r="E157" s="19"/>
      <c r="F157" s="30" t="s">
        <v>4</v>
      </c>
      <c r="G157" s="30" t="s">
        <v>5</v>
      </c>
      <c r="H157" s="31" t="s">
        <v>6</v>
      </c>
      <c r="I157" s="31" t="s">
        <v>32</v>
      </c>
      <c r="J157" s="19"/>
      <c r="K157" s="22"/>
      <c r="L157" s="21"/>
      <c r="M157" s="19"/>
    </row>
    <row r="158" spans="2:13" ht="11.25" hidden="1" customHeight="1" x14ac:dyDescent="0.2">
      <c r="B158" s="19"/>
      <c r="C158" s="19"/>
      <c r="D158" s="19"/>
      <c r="E158" s="19"/>
      <c r="F158" s="20">
        <v>42681</v>
      </c>
      <c r="G158" s="19" t="s">
        <v>12</v>
      </c>
      <c r="H158" s="21" t="s">
        <v>8</v>
      </c>
      <c r="I158" s="21">
        <v>6.25E-2</v>
      </c>
      <c r="J158" s="19"/>
      <c r="K158" s="22"/>
      <c r="L158" s="21"/>
      <c r="M158" s="19"/>
    </row>
    <row r="159" spans="2:13" ht="11.25" hidden="1" customHeight="1" x14ac:dyDescent="0.2">
      <c r="B159" s="19"/>
      <c r="C159" s="19"/>
      <c r="D159" s="9" t="s">
        <v>41</v>
      </c>
      <c r="E159" s="10"/>
      <c r="F159" s="10"/>
      <c r="G159" s="11" t="s">
        <v>117</v>
      </c>
      <c r="H159" s="12">
        <v>8.3333333333333329E-2</v>
      </c>
      <c r="I159" s="12">
        <f>0</f>
        <v>0</v>
      </c>
      <c r="J159" s="10" t="s">
        <v>11</v>
      </c>
      <c r="K159" s="29">
        <f>IF(J159="FINALIZADA",1,IF(H159&lt;I159,0.99,I159/IF(H159=0,1,H159)))</f>
        <v>0</v>
      </c>
      <c r="L159" s="21"/>
      <c r="M159" s="19"/>
    </row>
    <row r="160" spans="2:13" s="3" customFormat="1" ht="11.25" hidden="1" customHeight="1" x14ac:dyDescent="0.2">
      <c r="B160" s="19"/>
      <c r="C160" s="19"/>
      <c r="D160" s="19"/>
      <c r="E160" s="19"/>
      <c r="F160" s="30" t="s">
        <v>4</v>
      </c>
      <c r="G160" s="30" t="s">
        <v>5</v>
      </c>
      <c r="H160" s="31" t="s">
        <v>6</v>
      </c>
      <c r="I160" s="31" t="s">
        <v>32</v>
      </c>
      <c r="J160" s="19"/>
      <c r="K160" s="22"/>
      <c r="L160" s="21"/>
      <c r="M160" s="19"/>
    </row>
    <row r="161" spans="2:13" ht="11.25" hidden="1" customHeight="1" x14ac:dyDescent="0.2">
      <c r="B161" s="19"/>
      <c r="C161" s="19"/>
      <c r="D161" s="19"/>
      <c r="E161" s="19"/>
      <c r="F161" s="19" t="s">
        <v>33</v>
      </c>
      <c r="G161" s="19" t="s">
        <v>34</v>
      </c>
      <c r="H161" s="21" t="s">
        <v>35</v>
      </c>
      <c r="I161" s="21" t="s">
        <v>36</v>
      </c>
      <c r="J161" s="19"/>
      <c r="K161" s="22"/>
      <c r="L161" s="21"/>
      <c r="M161" s="19"/>
    </row>
    <row r="162" spans="2:13" ht="11.25" hidden="1" customHeight="1" x14ac:dyDescent="0.2">
      <c r="B162" s="19"/>
      <c r="C162" s="19"/>
      <c r="D162" s="9" t="s">
        <v>43</v>
      </c>
      <c r="E162" s="10"/>
      <c r="F162" s="10"/>
      <c r="G162" s="11" t="s">
        <v>118</v>
      </c>
      <c r="H162" s="12">
        <v>0.91666666666666663</v>
      </c>
      <c r="I162" s="12">
        <f>0+I164+I165</f>
        <v>0.33333333333333331</v>
      </c>
      <c r="J162" s="10" t="s">
        <v>11</v>
      </c>
      <c r="K162" s="29">
        <f>IF(J162="FINALIZADA",1,IF(H162&lt;I162,0.99,I162/IF(H162=0,1,H162)))</f>
        <v>0.36363636363636365</v>
      </c>
      <c r="L162" s="21"/>
      <c r="M162" s="19"/>
    </row>
    <row r="163" spans="2:13" s="3" customFormat="1" ht="11.25" hidden="1" customHeight="1" x14ac:dyDescent="0.2">
      <c r="B163" s="19"/>
      <c r="C163" s="19"/>
      <c r="D163" s="19"/>
      <c r="E163" s="19"/>
      <c r="F163" s="30" t="s">
        <v>4</v>
      </c>
      <c r="G163" s="30" t="s">
        <v>5</v>
      </c>
      <c r="H163" s="31" t="s">
        <v>6</v>
      </c>
      <c r="I163" s="31" t="s">
        <v>32</v>
      </c>
      <c r="J163" s="19"/>
      <c r="K163" s="22"/>
      <c r="L163" s="21"/>
      <c r="M163" s="19"/>
    </row>
    <row r="164" spans="2:13" ht="11.25" hidden="1" customHeight="1" x14ac:dyDescent="0.2">
      <c r="B164" s="19"/>
      <c r="C164" s="19"/>
      <c r="D164" s="19"/>
      <c r="E164" s="19"/>
      <c r="F164" s="20">
        <v>42689</v>
      </c>
      <c r="G164" s="19" t="s">
        <v>12</v>
      </c>
      <c r="H164" s="21" t="s">
        <v>8</v>
      </c>
      <c r="I164" s="21">
        <v>0.16666666666666666</v>
      </c>
      <c r="J164" s="19"/>
      <c r="K164" s="22"/>
      <c r="L164" s="21"/>
      <c r="M164" s="19"/>
    </row>
    <row r="165" spans="2:13" hidden="1" x14ac:dyDescent="0.2">
      <c r="B165" s="19"/>
      <c r="C165" s="19"/>
      <c r="D165" s="19"/>
      <c r="E165" s="19"/>
      <c r="F165" s="20">
        <v>42690</v>
      </c>
      <c r="G165" s="19" t="s">
        <v>12</v>
      </c>
      <c r="H165" s="21" t="s">
        <v>8</v>
      </c>
      <c r="I165" s="21">
        <v>0.16666666666666666</v>
      </c>
      <c r="J165" s="19"/>
      <c r="K165" s="22"/>
      <c r="L165" s="21"/>
      <c r="M165" s="19"/>
    </row>
    <row r="166" spans="2:13" ht="11.25" hidden="1" customHeight="1" x14ac:dyDescent="0.2">
      <c r="B166" s="19"/>
      <c r="C166" s="19"/>
      <c r="D166" s="9" t="s">
        <v>45</v>
      </c>
      <c r="E166" s="10"/>
      <c r="F166" s="10"/>
      <c r="G166" s="11" t="s">
        <v>119</v>
      </c>
      <c r="H166" s="12">
        <v>6.25E-2</v>
      </c>
      <c r="I166" s="12">
        <f>0</f>
        <v>0</v>
      </c>
      <c r="J166" s="10" t="s">
        <v>11</v>
      </c>
      <c r="K166" s="29">
        <f>IF(J166="FINALIZADA",1,IF(H166&lt;I166,0.99,I166/IF(H166=0,1,H166)))</f>
        <v>0</v>
      </c>
      <c r="L166" s="21"/>
      <c r="M166" s="19"/>
    </row>
    <row r="167" spans="2:13" ht="11.25" hidden="1" customHeight="1" x14ac:dyDescent="0.2">
      <c r="B167" s="19"/>
      <c r="C167" s="19"/>
      <c r="D167" s="19"/>
      <c r="E167" s="19"/>
      <c r="F167" s="30" t="s">
        <v>4</v>
      </c>
      <c r="G167" s="30" t="s">
        <v>5</v>
      </c>
      <c r="H167" s="31" t="s">
        <v>6</v>
      </c>
      <c r="I167" s="31" t="s">
        <v>32</v>
      </c>
      <c r="J167" s="19"/>
      <c r="K167" s="22"/>
      <c r="L167" s="21"/>
      <c r="M167" s="19"/>
    </row>
    <row r="168" spans="2:13" s="3" customFormat="1" ht="11.25" hidden="1" customHeight="1" x14ac:dyDescent="0.2">
      <c r="B168" s="19"/>
      <c r="C168" s="19"/>
      <c r="D168" s="19"/>
      <c r="E168" s="19"/>
      <c r="F168" s="19" t="s">
        <v>33</v>
      </c>
      <c r="G168" s="19" t="s">
        <v>34</v>
      </c>
      <c r="H168" s="21" t="s">
        <v>35</v>
      </c>
      <c r="I168" s="21" t="s">
        <v>36</v>
      </c>
      <c r="J168" s="19"/>
      <c r="K168" s="22"/>
      <c r="L168" s="21"/>
      <c r="M168" s="19"/>
    </row>
    <row r="169" spans="2:13" ht="11.25" hidden="1" customHeight="1" x14ac:dyDescent="0.2">
      <c r="B169" s="19"/>
      <c r="C169" s="19"/>
      <c r="D169" s="9" t="s">
        <v>62</v>
      </c>
      <c r="E169" s="10"/>
      <c r="F169" s="10"/>
      <c r="G169" s="11" t="s">
        <v>120</v>
      </c>
      <c r="H169" s="12">
        <v>0.16666666666666666</v>
      </c>
      <c r="I169" s="12">
        <f>0</f>
        <v>0</v>
      </c>
      <c r="J169" s="10" t="s">
        <v>10</v>
      </c>
      <c r="K169" s="29">
        <f>IF(J169="FINALIZADA",1,IF(H169&lt;I169,0.99,I169/IF(H169=0,1,H169)))</f>
        <v>0</v>
      </c>
      <c r="L169" s="21"/>
      <c r="M169" s="19"/>
    </row>
    <row r="170" spans="2:13" ht="11.25" hidden="1" customHeight="1" x14ac:dyDescent="0.2">
      <c r="B170" s="19"/>
      <c r="C170" s="19"/>
      <c r="D170" s="19"/>
      <c r="E170" s="19"/>
      <c r="F170" s="30" t="s">
        <v>4</v>
      </c>
      <c r="G170" s="30" t="s">
        <v>5</v>
      </c>
      <c r="H170" s="31" t="s">
        <v>6</v>
      </c>
      <c r="I170" s="31" t="s">
        <v>32</v>
      </c>
      <c r="J170" s="19"/>
      <c r="K170" s="22"/>
      <c r="L170" s="21"/>
      <c r="M170" s="19"/>
    </row>
    <row r="171" spans="2:13" s="3" customFormat="1" ht="11.25" hidden="1" customHeight="1" x14ac:dyDescent="0.2">
      <c r="B171" s="19"/>
      <c r="C171" s="19"/>
      <c r="D171" s="19"/>
      <c r="E171" s="19"/>
      <c r="F171" s="19" t="s">
        <v>33</v>
      </c>
      <c r="G171" s="19" t="s">
        <v>34</v>
      </c>
      <c r="H171" s="21" t="s">
        <v>35</v>
      </c>
      <c r="I171" s="21" t="s">
        <v>36</v>
      </c>
      <c r="J171" s="19"/>
      <c r="K171" s="22"/>
      <c r="L171" s="21"/>
      <c r="M171" s="19"/>
    </row>
    <row r="172" spans="2:13" ht="11.25" hidden="1" customHeight="1" x14ac:dyDescent="0.2">
      <c r="B172" s="19"/>
      <c r="C172" s="19"/>
      <c r="D172" s="9" t="s">
        <v>121</v>
      </c>
      <c r="E172" s="10"/>
      <c r="F172" s="10"/>
      <c r="G172" s="11" t="s">
        <v>122</v>
      </c>
      <c r="H172" s="12">
        <v>0.125</v>
      </c>
      <c r="I172" s="12">
        <f>0</f>
        <v>0</v>
      </c>
      <c r="J172" s="10" t="s">
        <v>10</v>
      </c>
      <c r="K172" s="29">
        <f>IF(J172="FINALIZADA",1,IF(H172&lt;I172,0.99,I172/IF(H172=0,1,H172)))</f>
        <v>0</v>
      </c>
      <c r="L172" s="21"/>
      <c r="M172" s="19"/>
    </row>
    <row r="173" spans="2:13" ht="11.25" hidden="1" customHeight="1" x14ac:dyDescent="0.2">
      <c r="B173" s="19"/>
      <c r="C173" s="19"/>
      <c r="D173" s="19"/>
      <c r="E173" s="19"/>
      <c r="F173" s="30" t="s">
        <v>4</v>
      </c>
      <c r="G173" s="30" t="s">
        <v>5</v>
      </c>
      <c r="H173" s="31" t="s">
        <v>6</v>
      </c>
      <c r="I173" s="31" t="s">
        <v>32</v>
      </c>
      <c r="J173" s="19"/>
      <c r="K173" s="22"/>
      <c r="L173" s="21"/>
      <c r="M173" s="19"/>
    </row>
    <row r="174" spans="2:13" ht="11.25" hidden="1" customHeight="1" x14ac:dyDescent="0.2">
      <c r="B174" s="19"/>
      <c r="C174" s="19"/>
      <c r="D174" s="19"/>
      <c r="E174" s="19"/>
      <c r="F174" s="19" t="s">
        <v>33</v>
      </c>
      <c r="G174" s="19" t="s">
        <v>34</v>
      </c>
      <c r="H174" s="21" t="s">
        <v>35</v>
      </c>
      <c r="I174" s="21" t="s">
        <v>36</v>
      </c>
      <c r="J174" s="19"/>
      <c r="K174" s="22"/>
      <c r="L174" s="21"/>
      <c r="M174" s="19"/>
    </row>
    <row r="175" spans="2:13" ht="11.25" hidden="1" customHeight="1" x14ac:dyDescent="0.2">
      <c r="B175" s="19"/>
      <c r="C175" s="19"/>
      <c r="D175" s="9" t="s">
        <v>123</v>
      </c>
      <c r="E175" s="10"/>
      <c r="F175" s="10"/>
      <c r="G175" s="11" t="s">
        <v>124</v>
      </c>
      <c r="H175" s="12">
        <v>8.3333333333333329E-2</v>
      </c>
      <c r="I175" s="12">
        <f>0</f>
        <v>0</v>
      </c>
      <c r="J175" s="10" t="s">
        <v>10</v>
      </c>
      <c r="K175" s="29">
        <f>IF(J175="FINALIZADA",1,IF(H175&lt;I175,0.99,I175/IF(H175=0,1,H175)))</f>
        <v>0</v>
      </c>
      <c r="L175" s="21"/>
      <c r="M175" s="19"/>
    </row>
    <row r="176" spans="2:13" s="3" customFormat="1" ht="11.25" hidden="1" customHeight="1" x14ac:dyDescent="0.2">
      <c r="B176" s="19"/>
      <c r="C176" s="19"/>
      <c r="D176" s="19"/>
      <c r="E176" s="19"/>
      <c r="F176" s="30" t="s">
        <v>4</v>
      </c>
      <c r="G176" s="30" t="s">
        <v>5</v>
      </c>
      <c r="H176" s="31" t="s">
        <v>6</v>
      </c>
      <c r="I176" s="31" t="s">
        <v>32</v>
      </c>
      <c r="J176" s="19"/>
      <c r="K176" s="22"/>
      <c r="L176" s="21"/>
      <c r="M176" s="19"/>
    </row>
    <row r="177" spans="2:13" ht="11.25" hidden="1" customHeight="1" x14ac:dyDescent="0.2">
      <c r="B177" s="19"/>
      <c r="C177" s="19"/>
      <c r="D177" s="19"/>
      <c r="E177" s="19"/>
      <c r="F177" s="19" t="s">
        <v>33</v>
      </c>
      <c r="G177" s="19" t="s">
        <v>34</v>
      </c>
      <c r="H177" s="21" t="s">
        <v>35</v>
      </c>
      <c r="I177" s="21" t="s">
        <v>36</v>
      </c>
      <c r="J177" s="19"/>
      <c r="K177" s="22"/>
      <c r="L177" s="21"/>
      <c r="M177" s="19"/>
    </row>
    <row r="178" spans="2:13" x14ac:dyDescent="0.2">
      <c r="B178" s="6">
        <v>26701</v>
      </c>
      <c r="C178" s="1" t="s">
        <v>125</v>
      </c>
      <c r="D178" s="1" t="s">
        <v>23</v>
      </c>
      <c r="E178" s="1" t="s">
        <v>126</v>
      </c>
      <c r="F178" s="5">
        <v>42696</v>
      </c>
      <c r="G178" s="1" t="s">
        <v>127</v>
      </c>
      <c r="H178" s="23">
        <f>0+H179+H195+H218+H231+H244</f>
        <v>3.0416666666666665</v>
      </c>
      <c r="I178" s="23">
        <f>0+I179+I195+I218+I231+I244</f>
        <v>1.5624999999999998</v>
      </c>
      <c r="J178" s="1" t="s">
        <v>11</v>
      </c>
      <c r="K178" s="24">
        <f>(0+H179*K179+H195*K195+H218*K218+H231*K231+H244*K244)/IF(H178=0,1,H178)</f>
        <v>0.45205479452054798</v>
      </c>
      <c r="L178" s="25">
        <f>(1-K178)*H178</f>
        <v>1.6666666666666665</v>
      </c>
      <c r="M178" s="26"/>
    </row>
    <row r="179" spans="2:13" ht="11.25" hidden="1" customHeight="1" x14ac:dyDescent="0.2">
      <c r="B179" s="19"/>
      <c r="C179" s="8" t="s">
        <v>128</v>
      </c>
      <c r="D179" s="7"/>
      <c r="E179" s="7" t="s">
        <v>129</v>
      </c>
      <c r="F179" s="7"/>
      <c r="G179" s="7"/>
      <c r="H179" s="27">
        <f>0+H180+H184+H191</f>
        <v>0.95833333333333326</v>
      </c>
      <c r="I179" s="27">
        <f>0+I180+I184+I191</f>
        <v>1.0416666666666665</v>
      </c>
      <c r="J179" s="7" t="s">
        <v>3</v>
      </c>
      <c r="K179" s="28">
        <f>(0+H180*K180+H184*K184+H191*K191)/IF(H179=0,1,H179)</f>
        <v>1</v>
      </c>
      <c r="L179" s="21"/>
      <c r="M179" s="19"/>
    </row>
    <row r="180" spans="2:13" ht="11.25" hidden="1" customHeight="1" x14ac:dyDescent="0.2">
      <c r="B180" s="19"/>
      <c r="C180" s="19"/>
      <c r="D180" s="9" t="s">
        <v>29</v>
      </c>
      <c r="E180" s="10"/>
      <c r="F180" s="10"/>
      <c r="G180" s="11" t="s">
        <v>130</v>
      </c>
      <c r="H180" s="12">
        <v>0.75</v>
      </c>
      <c r="I180" s="12">
        <f>0+I182+I183</f>
        <v>0.5</v>
      </c>
      <c r="J180" s="10" t="s">
        <v>3</v>
      </c>
      <c r="K180" s="29">
        <f>IF(J180="FINALIZADA",1,IF(H180&lt;I180,0.99,I180/IF(H180=0,1,H180)))</f>
        <v>1</v>
      </c>
      <c r="L180" s="21"/>
      <c r="M180" s="19"/>
    </row>
    <row r="181" spans="2:13" s="3" customFormat="1" ht="11.25" hidden="1" customHeight="1" x14ac:dyDescent="0.2">
      <c r="B181" s="19"/>
      <c r="C181" s="19"/>
      <c r="D181" s="19"/>
      <c r="E181" s="19"/>
      <c r="F181" s="30" t="s">
        <v>4</v>
      </c>
      <c r="G181" s="30" t="s">
        <v>5</v>
      </c>
      <c r="H181" s="31" t="s">
        <v>6</v>
      </c>
      <c r="I181" s="31" t="s">
        <v>32</v>
      </c>
      <c r="J181" s="19"/>
      <c r="K181" s="22"/>
      <c r="L181" s="21"/>
      <c r="M181" s="19"/>
    </row>
    <row r="182" spans="2:13" ht="11.25" hidden="1" customHeight="1" x14ac:dyDescent="0.2">
      <c r="B182" s="19"/>
      <c r="C182" s="19"/>
      <c r="D182" s="19"/>
      <c r="E182" s="19"/>
      <c r="F182" s="20">
        <v>42668</v>
      </c>
      <c r="G182" s="19" t="s">
        <v>15</v>
      </c>
      <c r="H182" s="21" t="s">
        <v>8</v>
      </c>
      <c r="I182" s="21">
        <v>0.29166666666666669</v>
      </c>
      <c r="J182" s="19"/>
      <c r="K182" s="22"/>
      <c r="L182" s="21"/>
      <c r="M182" s="19"/>
    </row>
    <row r="183" spans="2:13" ht="11.25" hidden="1" customHeight="1" x14ac:dyDescent="0.2">
      <c r="B183" s="19"/>
      <c r="C183" s="19"/>
      <c r="D183" s="19"/>
      <c r="E183" s="19"/>
      <c r="F183" s="20">
        <v>42669</v>
      </c>
      <c r="G183" s="19" t="s">
        <v>15</v>
      </c>
      <c r="H183" s="21" t="s">
        <v>8</v>
      </c>
      <c r="I183" s="21">
        <v>0.20833333333333334</v>
      </c>
      <c r="J183" s="19"/>
      <c r="K183" s="22"/>
      <c r="L183" s="21"/>
      <c r="M183" s="19"/>
    </row>
    <row r="184" spans="2:13" s="3" customFormat="1" ht="11.25" hidden="1" customHeight="1" x14ac:dyDescent="0.2">
      <c r="B184" s="19"/>
      <c r="C184" s="19"/>
      <c r="D184" s="9" t="s">
        <v>41</v>
      </c>
      <c r="E184" s="10"/>
      <c r="F184" s="10"/>
      <c r="G184" s="11" t="s">
        <v>61</v>
      </c>
      <c r="H184" s="12">
        <v>0.16666666666666666</v>
      </c>
      <c r="I184" s="12">
        <f>0+I186+I187+I188+I190</f>
        <v>0.45833333333333326</v>
      </c>
      <c r="J184" s="10" t="s">
        <v>3</v>
      </c>
      <c r="K184" s="29">
        <f>IF(J184="FINALIZADA",1,IF(H184&lt;I184,0.99,I184/IF(H184=0,1,H184)))</f>
        <v>1</v>
      </c>
      <c r="L184" s="21"/>
      <c r="M184" s="19"/>
    </row>
    <row r="185" spans="2:13" ht="11.25" hidden="1" customHeight="1" x14ac:dyDescent="0.2">
      <c r="B185" s="19"/>
      <c r="C185" s="19"/>
      <c r="D185" s="19"/>
      <c r="E185" s="19"/>
      <c r="F185" s="30" t="s">
        <v>4</v>
      </c>
      <c r="G185" s="30" t="s">
        <v>5</v>
      </c>
      <c r="H185" s="31" t="s">
        <v>6</v>
      </c>
      <c r="I185" s="31" t="s">
        <v>32</v>
      </c>
      <c r="J185" s="19"/>
      <c r="K185" s="22"/>
      <c r="L185" s="21"/>
      <c r="M185" s="19"/>
    </row>
    <row r="186" spans="2:13" ht="11.25" hidden="1" customHeight="1" x14ac:dyDescent="0.2">
      <c r="B186" s="19"/>
      <c r="C186" s="19"/>
      <c r="D186" s="19"/>
      <c r="E186" s="19"/>
      <c r="F186" s="20">
        <v>42669</v>
      </c>
      <c r="G186" s="19" t="s">
        <v>15</v>
      </c>
      <c r="H186" s="21" t="s">
        <v>8</v>
      </c>
      <c r="I186" s="21">
        <v>8.3333333333333329E-2</v>
      </c>
      <c r="J186" s="19"/>
      <c r="K186" s="22"/>
      <c r="L186" s="21"/>
      <c r="M186" s="19"/>
    </row>
    <row r="187" spans="2:13" s="3" customFormat="1" ht="11.25" hidden="1" customHeight="1" x14ac:dyDescent="0.2">
      <c r="B187" s="19"/>
      <c r="C187" s="19"/>
      <c r="D187" s="19"/>
      <c r="E187" s="19"/>
      <c r="F187" s="20">
        <v>42669</v>
      </c>
      <c r="G187" s="19" t="s">
        <v>15</v>
      </c>
      <c r="H187" s="21" t="s">
        <v>8</v>
      </c>
      <c r="I187" s="21">
        <v>4.1666666666666664E-2</v>
      </c>
      <c r="J187" s="19"/>
      <c r="K187" s="22"/>
      <c r="L187" s="21"/>
      <c r="M187" s="19"/>
    </row>
    <row r="188" spans="2:13" ht="11.25" hidden="1" customHeight="1" x14ac:dyDescent="0.2">
      <c r="B188" s="19"/>
      <c r="C188" s="19"/>
      <c r="D188" s="19"/>
      <c r="E188" s="19"/>
      <c r="F188" s="20">
        <v>42670</v>
      </c>
      <c r="G188" s="19" t="s">
        <v>15</v>
      </c>
      <c r="H188" s="21" t="s">
        <v>8</v>
      </c>
      <c r="I188" s="21">
        <v>0.16666666666666666</v>
      </c>
      <c r="J188" s="19"/>
      <c r="K188" s="22"/>
      <c r="L188" s="21"/>
      <c r="M188" s="19"/>
    </row>
    <row r="189" spans="2:13" hidden="1" x14ac:dyDescent="0.2">
      <c r="B189" s="19"/>
      <c r="C189" s="19"/>
      <c r="D189" s="19"/>
      <c r="E189" s="19"/>
      <c r="F189" s="20">
        <v>42670</v>
      </c>
      <c r="G189" s="19" t="s">
        <v>15</v>
      </c>
      <c r="H189" s="21" t="s">
        <v>8</v>
      </c>
      <c r="I189" s="21">
        <v>0</v>
      </c>
      <c r="J189" s="19"/>
      <c r="K189" s="22"/>
      <c r="L189" s="21"/>
      <c r="M189" s="19"/>
    </row>
    <row r="190" spans="2:13" ht="11.25" hidden="1" customHeight="1" x14ac:dyDescent="0.2">
      <c r="B190" s="19"/>
      <c r="C190" s="19"/>
      <c r="D190" s="19"/>
      <c r="E190" s="19"/>
      <c r="F190" s="20">
        <v>42670</v>
      </c>
      <c r="G190" s="19" t="s">
        <v>15</v>
      </c>
      <c r="H190" s="21" t="s">
        <v>8</v>
      </c>
      <c r="I190" s="21">
        <v>0.16666666666666666</v>
      </c>
      <c r="J190" s="19"/>
      <c r="K190" s="22"/>
      <c r="L190" s="21"/>
      <c r="M190" s="19"/>
    </row>
    <row r="191" spans="2:13" ht="11.25" hidden="1" customHeight="1" x14ac:dyDescent="0.2">
      <c r="B191" s="19"/>
      <c r="C191" s="19"/>
      <c r="D191" s="9" t="s">
        <v>43</v>
      </c>
      <c r="E191" s="10"/>
      <c r="F191" s="10"/>
      <c r="G191" s="11" t="s">
        <v>131</v>
      </c>
      <c r="H191" s="12">
        <v>4.1666666666666664E-2</v>
      </c>
      <c r="I191" s="12">
        <f>0+I193+I194</f>
        <v>8.3333333333333329E-2</v>
      </c>
      <c r="J191" s="10" t="s">
        <v>3</v>
      </c>
      <c r="K191" s="29">
        <f>IF(J191="FINALIZADA",1,IF(H191&lt;I191,0.99,I191/IF(H191=0,1,H191)))</f>
        <v>1</v>
      </c>
      <c r="L191" s="21"/>
      <c r="M191" s="19"/>
    </row>
    <row r="192" spans="2:13" s="3" customFormat="1" ht="11.25" hidden="1" customHeight="1" x14ac:dyDescent="0.2">
      <c r="B192" s="19"/>
      <c r="C192" s="19"/>
      <c r="D192" s="19"/>
      <c r="E192" s="19"/>
      <c r="F192" s="30" t="s">
        <v>4</v>
      </c>
      <c r="G192" s="30" t="s">
        <v>5</v>
      </c>
      <c r="H192" s="31" t="s">
        <v>6</v>
      </c>
      <c r="I192" s="31" t="s">
        <v>32</v>
      </c>
      <c r="J192" s="19"/>
      <c r="K192" s="22"/>
      <c r="L192" s="21"/>
      <c r="M192" s="19"/>
    </row>
    <row r="193" spans="2:13" ht="11.25" hidden="1" customHeight="1" x14ac:dyDescent="0.2">
      <c r="B193" s="19"/>
      <c r="C193" s="19"/>
      <c r="D193" s="19"/>
      <c r="E193" s="19"/>
      <c r="F193" s="20">
        <v>42676</v>
      </c>
      <c r="G193" s="19" t="s">
        <v>15</v>
      </c>
      <c r="H193" s="21" t="s">
        <v>8</v>
      </c>
      <c r="I193" s="21">
        <v>4.1666666666666664E-2</v>
      </c>
      <c r="J193" s="19"/>
      <c r="K193" s="22"/>
      <c r="L193" s="21"/>
      <c r="M193" s="19"/>
    </row>
    <row r="194" spans="2:13" ht="11.25" hidden="1" customHeight="1" x14ac:dyDescent="0.2">
      <c r="B194" s="19"/>
      <c r="C194" s="19"/>
      <c r="D194" s="19"/>
      <c r="E194" s="19"/>
      <c r="F194" s="20">
        <v>42676</v>
      </c>
      <c r="G194" s="19" t="s">
        <v>15</v>
      </c>
      <c r="H194" s="21" t="s">
        <v>8</v>
      </c>
      <c r="I194" s="21">
        <v>4.1666666666666664E-2</v>
      </c>
      <c r="J194" s="19"/>
      <c r="K194" s="22"/>
      <c r="L194" s="21"/>
      <c r="M194" s="19"/>
    </row>
    <row r="195" spans="2:13" s="3" customFormat="1" ht="11.25" hidden="1" customHeight="1" x14ac:dyDescent="0.2">
      <c r="B195" s="19"/>
      <c r="C195" s="8" t="s">
        <v>125</v>
      </c>
      <c r="D195" s="7"/>
      <c r="E195" s="7" t="s">
        <v>132</v>
      </c>
      <c r="F195" s="7"/>
      <c r="G195" s="7"/>
      <c r="H195" s="27">
        <f>0+H196+H201+H206+H209+H212+H215</f>
        <v>1.4166666666666665</v>
      </c>
      <c r="I195" s="27">
        <f>0+I196+I201+I206+I209+I212+I215</f>
        <v>0.52083333333333326</v>
      </c>
      <c r="J195" s="7" t="s">
        <v>11</v>
      </c>
      <c r="K195" s="28">
        <f>(0+H196*K196+H201*K201+H206*K206+H209*K209+H212*K212+H215*K215)/IF(H195=0,1,H195)</f>
        <v>0.29411764705882354</v>
      </c>
      <c r="L195" s="21"/>
      <c r="M195" s="19"/>
    </row>
    <row r="196" spans="2:13" ht="11.25" hidden="1" customHeight="1" x14ac:dyDescent="0.2">
      <c r="B196" s="19"/>
      <c r="C196" s="19"/>
      <c r="D196" s="9" t="s">
        <v>29</v>
      </c>
      <c r="E196" s="10"/>
      <c r="F196" s="10"/>
      <c r="G196" s="11" t="s">
        <v>133</v>
      </c>
      <c r="H196" s="12">
        <v>8.3333333333333329E-2</v>
      </c>
      <c r="I196" s="12">
        <f>0+I198+I199+I200</f>
        <v>0.1875</v>
      </c>
      <c r="J196" s="10" t="s">
        <v>3</v>
      </c>
      <c r="K196" s="29">
        <f>IF(J196="FINALIZADA",1,IF(H196&lt;I196,0.99,I196/IF(H196=0,1,H196)))</f>
        <v>1</v>
      </c>
      <c r="L196" s="21"/>
      <c r="M196" s="19"/>
    </row>
    <row r="197" spans="2:13" ht="11.25" hidden="1" customHeight="1" x14ac:dyDescent="0.2">
      <c r="B197" s="19"/>
      <c r="C197" s="19"/>
      <c r="D197" s="19"/>
      <c r="E197" s="19"/>
      <c r="F197" s="30" t="s">
        <v>4</v>
      </c>
      <c r="G197" s="30" t="s">
        <v>5</v>
      </c>
      <c r="H197" s="31" t="s">
        <v>6</v>
      </c>
      <c r="I197" s="31" t="s">
        <v>32</v>
      </c>
      <c r="J197" s="19"/>
      <c r="K197" s="22"/>
      <c r="L197" s="21"/>
      <c r="M197" s="19"/>
    </row>
    <row r="198" spans="2:13" s="3" customFormat="1" ht="11.25" hidden="1" customHeight="1" x14ac:dyDescent="0.2">
      <c r="B198" s="19"/>
      <c r="C198" s="19"/>
      <c r="D198" s="19"/>
      <c r="E198" s="19"/>
      <c r="F198" s="20">
        <v>42685</v>
      </c>
      <c r="G198" s="19" t="s">
        <v>15</v>
      </c>
      <c r="H198" s="21" t="s">
        <v>8</v>
      </c>
      <c r="I198" s="21">
        <v>6.25E-2</v>
      </c>
      <c r="J198" s="19"/>
      <c r="K198" s="22"/>
      <c r="L198" s="21"/>
      <c r="M198" s="19"/>
    </row>
    <row r="199" spans="2:13" ht="11.25" hidden="1" customHeight="1" x14ac:dyDescent="0.2">
      <c r="B199" s="19"/>
      <c r="C199" s="19"/>
      <c r="D199" s="19"/>
      <c r="E199" s="19"/>
      <c r="F199" s="20">
        <v>42688</v>
      </c>
      <c r="G199" s="19" t="s">
        <v>15</v>
      </c>
      <c r="H199" s="21" t="s">
        <v>8</v>
      </c>
      <c r="I199" s="21">
        <v>6.25E-2</v>
      </c>
      <c r="J199" s="19"/>
      <c r="K199" s="22"/>
      <c r="L199" s="21"/>
      <c r="M199" s="19"/>
    </row>
    <row r="200" spans="2:13" ht="11.25" hidden="1" customHeight="1" x14ac:dyDescent="0.2">
      <c r="B200" s="19"/>
      <c r="C200" s="19"/>
      <c r="D200" s="19"/>
      <c r="E200" s="19"/>
      <c r="F200" s="20">
        <v>42696</v>
      </c>
      <c r="G200" s="19" t="s">
        <v>15</v>
      </c>
      <c r="H200" s="21" t="s">
        <v>8</v>
      </c>
      <c r="I200" s="21">
        <v>6.25E-2</v>
      </c>
      <c r="J200" s="19"/>
      <c r="K200" s="22"/>
      <c r="L200" s="21"/>
      <c r="M200" s="19"/>
    </row>
    <row r="201" spans="2:13" s="3" customFormat="1" ht="11.25" hidden="1" customHeight="1" x14ac:dyDescent="0.2">
      <c r="B201" s="19"/>
      <c r="C201" s="19"/>
      <c r="D201" s="9" t="s">
        <v>41</v>
      </c>
      <c r="E201" s="10"/>
      <c r="F201" s="10"/>
      <c r="G201" s="11" t="s">
        <v>134</v>
      </c>
      <c r="H201" s="12">
        <v>0.91666666666666663</v>
      </c>
      <c r="I201" s="12">
        <f>0+I203+I204+I205</f>
        <v>0.33333333333333331</v>
      </c>
      <c r="J201" s="10" t="s">
        <v>11</v>
      </c>
      <c r="K201" s="29">
        <f>IF(J201="FINALIZADA",1,IF(H201&lt;I201,0.99,I201/IF(H201=0,1,H201)))</f>
        <v>0.36363636363636365</v>
      </c>
      <c r="L201" s="21"/>
      <c r="M201" s="19"/>
    </row>
    <row r="202" spans="2:13" ht="11.25" hidden="1" customHeight="1" x14ac:dyDescent="0.2">
      <c r="B202" s="19"/>
      <c r="C202" s="19"/>
      <c r="D202" s="19"/>
      <c r="E202" s="19"/>
      <c r="F202" s="30" t="s">
        <v>4</v>
      </c>
      <c r="G202" s="30" t="s">
        <v>5</v>
      </c>
      <c r="H202" s="31" t="s">
        <v>6</v>
      </c>
      <c r="I202" s="31" t="s">
        <v>32</v>
      </c>
      <c r="J202" s="19"/>
      <c r="K202" s="22"/>
      <c r="L202" s="21"/>
      <c r="M202" s="19"/>
    </row>
    <row r="203" spans="2:13" hidden="1" x14ac:dyDescent="0.2">
      <c r="B203" s="19"/>
      <c r="C203" s="19"/>
      <c r="D203" s="19"/>
      <c r="E203" s="19"/>
      <c r="F203" s="20">
        <v>42689</v>
      </c>
      <c r="G203" s="19" t="s">
        <v>15</v>
      </c>
      <c r="H203" s="21" t="s">
        <v>8</v>
      </c>
      <c r="I203" s="21">
        <v>0.16666666666666666</v>
      </c>
      <c r="J203" s="19"/>
      <c r="K203" s="22"/>
      <c r="L203" s="21"/>
      <c r="M203" s="19"/>
    </row>
    <row r="204" spans="2:13" hidden="1" x14ac:dyDescent="0.2">
      <c r="B204" s="19"/>
      <c r="C204" s="19"/>
      <c r="D204" s="19"/>
      <c r="E204" s="19"/>
      <c r="F204" s="20">
        <v>42691</v>
      </c>
      <c r="G204" s="19" t="s">
        <v>15</v>
      </c>
      <c r="H204" s="21" t="s">
        <v>8</v>
      </c>
      <c r="I204" s="21">
        <v>6.25E-2</v>
      </c>
      <c r="J204" s="19"/>
      <c r="K204" s="22"/>
      <c r="L204" s="21"/>
      <c r="M204" s="19"/>
    </row>
    <row r="205" spans="2:13" hidden="1" x14ac:dyDescent="0.2">
      <c r="B205" s="19"/>
      <c r="C205" s="19"/>
      <c r="D205" s="19"/>
      <c r="E205" s="19"/>
      <c r="F205" s="20">
        <v>42696</v>
      </c>
      <c r="G205" s="19" t="s">
        <v>15</v>
      </c>
      <c r="H205" s="21" t="s">
        <v>8</v>
      </c>
      <c r="I205" s="21">
        <v>0.10416666666666667</v>
      </c>
      <c r="J205" s="19"/>
      <c r="K205" s="22"/>
      <c r="L205" s="21"/>
      <c r="M205" s="19"/>
    </row>
    <row r="206" spans="2:13" hidden="1" x14ac:dyDescent="0.2">
      <c r="B206" s="19"/>
      <c r="C206" s="19"/>
      <c r="D206" s="9" t="s">
        <v>43</v>
      </c>
      <c r="E206" s="10"/>
      <c r="F206" s="10"/>
      <c r="G206" s="11" t="s">
        <v>119</v>
      </c>
      <c r="H206" s="12">
        <v>8.3333333333333329E-2</v>
      </c>
      <c r="I206" s="12">
        <f>0</f>
        <v>0</v>
      </c>
      <c r="J206" s="10" t="s">
        <v>10</v>
      </c>
      <c r="K206" s="29">
        <f>IF(J206="FINALIZADA",1,IF(H206&lt;I206,0.99,I206/IF(H206=0,1,H206)))</f>
        <v>0</v>
      </c>
      <c r="L206" s="21"/>
      <c r="M206" s="19"/>
    </row>
    <row r="207" spans="2:13" hidden="1" x14ac:dyDescent="0.2">
      <c r="B207" s="19"/>
      <c r="C207" s="19"/>
      <c r="D207" s="19"/>
      <c r="E207" s="19"/>
      <c r="F207" s="30" t="s">
        <v>4</v>
      </c>
      <c r="G207" s="30" t="s">
        <v>5</v>
      </c>
      <c r="H207" s="31" t="s">
        <v>6</v>
      </c>
      <c r="I207" s="31" t="s">
        <v>32</v>
      </c>
      <c r="J207" s="19"/>
      <c r="K207" s="22"/>
      <c r="L207" s="21"/>
      <c r="M207" s="19"/>
    </row>
    <row r="208" spans="2:13" hidden="1" x14ac:dyDescent="0.2">
      <c r="B208" s="19"/>
      <c r="C208" s="19"/>
      <c r="D208" s="19"/>
      <c r="E208" s="19"/>
      <c r="F208" s="19" t="s">
        <v>33</v>
      </c>
      <c r="G208" s="19" t="s">
        <v>34</v>
      </c>
      <c r="H208" s="21" t="s">
        <v>35</v>
      </c>
      <c r="I208" s="21" t="s">
        <v>36</v>
      </c>
      <c r="J208" s="19"/>
      <c r="K208" s="22"/>
      <c r="L208" s="21"/>
      <c r="M208" s="19"/>
    </row>
    <row r="209" spans="2:13" hidden="1" x14ac:dyDescent="0.2">
      <c r="B209" s="19"/>
      <c r="C209" s="19"/>
      <c r="D209" s="9" t="s">
        <v>45</v>
      </c>
      <c r="E209" s="10"/>
      <c r="F209" s="10"/>
      <c r="G209" s="11" t="s">
        <v>120</v>
      </c>
      <c r="H209" s="12">
        <v>0.16666666666666666</v>
      </c>
      <c r="I209" s="12">
        <f>0</f>
        <v>0</v>
      </c>
      <c r="J209" s="10" t="s">
        <v>10</v>
      </c>
      <c r="K209" s="29">
        <f>IF(J209="FINALIZADA",1,IF(H209&lt;I209,0.99,I209/IF(H209=0,1,H209)))</f>
        <v>0</v>
      </c>
      <c r="L209" s="21"/>
      <c r="M209" s="19"/>
    </row>
    <row r="210" spans="2:13" hidden="1" x14ac:dyDescent="0.2">
      <c r="B210" s="19"/>
      <c r="C210" s="19"/>
      <c r="D210" s="19"/>
      <c r="E210" s="19"/>
      <c r="F210" s="30" t="s">
        <v>4</v>
      </c>
      <c r="G210" s="30" t="s">
        <v>5</v>
      </c>
      <c r="H210" s="31" t="s">
        <v>6</v>
      </c>
      <c r="I210" s="31" t="s">
        <v>32</v>
      </c>
      <c r="J210" s="19"/>
      <c r="K210" s="22"/>
      <c r="L210" s="21"/>
      <c r="M210" s="19"/>
    </row>
    <row r="211" spans="2:13" hidden="1" x14ac:dyDescent="0.2">
      <c r="B211" s="19"/>
      <c r="C211" s="19"/>
      <c r="D211" s="19"/>
      <c r="E211" s="19"/>
      <c r="F211" s="19" t="s">
        <v>33</v>
      </c>
      <c r="G211" s="19" t="s">
        <v>34</v>
      </c>
      <c r="H211" s="21" t="s">
        <v>35</v>
      </c>
      <c r="I211" s="21" t="s">
        <v>36</v>
      </c>
      <c r="J211" s="19"/>
      <c r="K211" s="22"/>
      <c r="L211" s="21"/>
      <c r="M211" s="19"/>
    </row>
    <row r="212" spans="2:13" hidden="1" x14ac:dyDescent="0.2">
      <c r="B212" s="19"/>
      <c r="C212" s="19"/>
      <c r="D212" s="9" t="s">
        <v>62</v>
      </c>
      <c r="E212" s="10"/>
      <c r="F212" s="10"/>
      <c r="G212" s="11" t="s">
        <v>135</v>
      </c>
      <c r="H212" s="12">
        <v>8.3333333333333329E-2</v>
      </c>
      <c r="I212" s="12">
        <f>0</f>
        <v>0</v>
      </c>
      <c r="J212" s="10" t="s">
        <v>10</v>
      </c>
      <c r="K212" s="29">
        <f>IF(J212="FINALIZADA",1,IF(H212&lt;I212,0.99,I212/IF(H212=0,1,H212)))</f>
        <v>0</v>
      </c>
      <c r="L212" s="21"/>
      <c r="M212" s="19"/>
    </row>
    <row r="213" spans="2:13" hidden="1" x14ac:dyDescent="0.2">
      <c r="B213" s="19"/>
      <c r="C213" s="19"/>
      <c r="D213" s="19"/>
      <c r="E213" s="19"/>
      <c r="F213" s="30" t="s">
        <v>4</v>
      </c>
      <c r="G213" s="30" t="s">
        <v>5</v>
      </c>
      <c r="H213" s="31" t="s">
        <v>6</v>
      </c>
      <c r="I213" s="31" t="s">
        <v>32</v>
      </c>
      <c r="J213" s="19"/>
      <c r="K213" s="22"/>
      <c r="L213" s="21"/>
      <c r="M213" s="19"/>
    </row>
    <row r="214" spans="2:13" hidden="1" x14ac:dyDescent="0.2">
      <c r="B214" s="19"/>
      <c r="C214" s="19"/>
      <c r="D214" s="19"/>
      <c r="E214" s="19"/>
      <c r="F214" s="19" t="s">
        <v>33</v>
      </c>
      <c r="G214" s="19" t="s">
        <v>34</v>
      </c>
      <c r="H214" s="21" t="s">
        <v>35</v>
      </c>
      <c r="I214" s="21" t="s">
        <v>36</v>
      </c>
      <c r="J214" s="19"/>
      <c r="K214" s="22"/>
      <c r="L214" s="21"/>
      <c r="M214" s="19"/>
    </row>
    <row r="215" spans="2:13" hidden="1" x14ac:dyDescent="0.2">
      <c r="B215" s="19"/>
      <c r="C215" s="19"/>
      <c r="D215" s="9" t="s">
        <v>121</v>
      </c>
      <c r="E215" s="10"/>
      <c r="F215" s="10"/>
      <c r="G215" s="11" t="s">
        <v>124</v>
      </c>
      <c r="H215" s="12">
        <v>8.3333333333333329E-2</v>
      </c>
      <c r="I215" s="12">
        <f>0</f>
        <v>0</v>
      </c>
      <c r="J215" s="10" t="s">
        <v>10</v>
      </c>
      <c r="K215" s="29">
        <f>IF(J215="FINALIZADA",1,IF(H215&lt;I215,0.99,I215/IF(H215=0,1,H215)))</f>
        <v>0</v>
      </c>
      <c r="L215" s="21"/>
      <c r="M215" s="19"/>
    </row>
    <row r="216" spans="2:13" hidden="1" x14ac:dyDescent="0.2">
      <c r="B216" s="19"/>
      <c r="C216" s="19"/>
      <c r="D216" s="19"/>
      <c r="E216" s="19"/>
      <c r="F216" s="30" t="s">
        <v>4</v>
      </c>
      <c r="G216" s="30" t="s">
        <v>5</v>
      </c>
      <c r="H216" s="31" t="s">
        <v>6</v>
      </c>
      <c r="I216" s="31" t="s">
        <v>32</v>
      </c>
      <c r="J216" s="19"/>
      <c r="K216" s="22"/>
      <c r="L216" s="21"/>
      <c r="M216" s="19"/>
    </row>
    <row r="217" spans="2:13" hidden="1" x14ac:dyDescent="0.2">
      <c r="B217" s="19"/>
      <c r="C217" s="19"/>
      <c r="D217" s="19"/>
      <c r="E217" s="19"/>
      <c r="F217" s="19" t="s">
        <v>33</v>
      </c>
      <c r="G217" s="19" t="s">
        <v>34</v>
      </c>
      <c r="H217" s="21" t="s">
        <v>35</v>
      </c>
      <c r="I217" s="21" t="s">
        <v>36</v>
      </c>
      <c r="J217" s="19"/>
      <c r="K217" s="22"/>
      <c r="L217" s="21"/>
      <c r="M217" s="19"/>
    </row>
    <row r="218" spans="2:13" hidden="1" x14ac:dyDescent="0.2">
      <c r="B218" s="19"/>
      <c r="C218" s="8" t="s">
        <v>136</v>
      </c>
      <c r="D218" s="7"/>
      <c r="E218" s="7" t="s">
        <v>137</v>
      </c>
      <c r="F218" s="7"/>
      <c r="G218" s="7"/>
      <c r="H218" s="27">
        <f>0+H219+H222+H225+H228</f>
        <v>0.26041666666666663</v>
      </c>
      <c r="I218" s="27">
        <f>0+I219+I222+I225+I228</f>
        <v>0</v>
      </c>
      <c r="J218" s="7" t="s">
        <v>92</v>
      </c>
      <c r="K218" s="28">
        <f>(0+H219*K219+H222*K222+H225*K225+H228*K228)/IF(H218=0,1,H218)</f>
        <v>0</v>
      </c>
      <c r="L218" s="21"/>
      <c r="M218" s="19"/>
    </row>
    <row r="219" spans="2:13" hidden="1" x14ac:dyDescent="0.2">
      <c r="B219" s="19"/>
      <c r="C219" s="19"/>
      <c r="D219" s="9" t="s">
        <v>29</v>
      </c>
      <c r="E219" s="10"/>
      <c r="F219" s="10"/>
      <c r="G219" s="11" t="s">
        <v>138</v>
      </c>
      <c r="H219" s="12">
        <v>4.1666666666666664E-2</v>
      </c>
      <c r="I219" s="12">
        <f>0</f>
        <v>0</v>
      </c>
      <c r="J219" s="10" t="s">
        <v>10</v>
      </c>
      <c r="K219" s="29">
        <f>IF(J219="FINALIZADA",1,IF(H219&lt;I219,0.99,I219/IF(H219=0,1,H219)))</f>
        <v>0</v>
      </c>
      <c r="L219" s="21"/>
      <c r="M219" s="19"/>
    </row>
    <row r="220" spans="2:13" hidden="1" x14ac:dyDescent="0.2">
      <c r="B220" s="19"/>
      <c r="C220" s="19"/>
      <c r="D220" s="19"/>
      <c r="E220" s="19"/>
      <c r="F220" s="30" t="s">
        <v>4</v>
      </c>
      <c r="G220" s="30" t="s">
        <v>5</v>
      </c>
      <c r="H220" s="31" t="s">
        <v>6</v>
      </c>
      <c r="I220" s="31" t="s">
        <v>32</v>
      </c>
      <c r="J220" s="19"/>
      <c r="K220" s="22"/>
      <c r="L220" s="21"/>
      <c r="M220" s="19"/>
    </row>
    <row r="221" spans="2:13" hidden="1" x14ac:dyDescent="0.2">
      <c r="B221" s="19"/>
      <c r="C221" s="19"/>
      <c r="D221" s="19"/>
      <c r="E221" s="19"/>
      <c r="F221" s="19" t="s">
        <v>33</v>
      </c>
      <c r="G221" s="19" t="s">
        <v>34</v>
      </c>
      <c r="H221" s="21" t="s">
        <v>35</v>
      </c>
      <c r="I221" s="21" t="s">
        <v>36</v>
      </c>
      <c r="J221" s="19"/>
      <c r="K221" s="22"/>
      <c r="L221" s="21"/>
      <c r="M221" s="19"/>
    </row>
    <row r="222" spans="2:13" hidden="1" x14ac:dyDescent="0.2">
      <c r="B222" s="19"/>
      <c r="C222" s="19"/>
      <c r="D222" s="9" t="s">
        <v>41</v>
      </c>
      <c r="E222" s="10"/>
      <c r="F222" s="10"/>
      <c r="G222" s="11" t="s">
        <v>139</v>
      </c>
      <c r="H222" s="12">
        <v>8.3333333333333329E-2</v>
      </c>
      <c r="I222" s="12">
        <f>0</f>
        <v>0</v>
      </c>
      <c r="J222" s="10" t="s">
        <v>10</v>
      </c>
      <c r="K222" s="29">
        <f>IF(J222="FINALIZADA",1,IF(H222&lt;I222,0.99,I222/IF(H222=0,1,H222)))</f>
        <v>0</v>
      </c>
      <c r="L222" s="21"/>
      <c r="M222" s="19"/>
    </row>
    <row r="223" spans="2:13" hidden="1" x14ac:dyDescent="0.2">
      <c r="B223" s="19"/>
      <c r="C223" s="19"/>
      <c r="D223" s="19"/>
      <c r="E223" s="19"/>
      <c r="F223" s="30" t="s">
        <v>4</v>
      </c>
      <c r="G223" s="30" t="s">
        <v>5</v>
      </c>
      <c r="H223" s="31" t="s">
        <v>6</v>
      </c>
      <c r="I223" s="31" t="s">
        <v>32</v>
      </c>
      <c r="J223" s="19"/>
      <c r="K223" s="22"/>
      <c r="L223" s="21"/>
      <c r="M223" s="19"/>
    </row>
    <row r="224" spans="2:13" hidden="1" x14ac:dyDescent="0.2">
      <c r="B224" s="19"/>
      <c r="C224" s="19"/>
      <c r="D224" s="19"/>
      <c r="E224" s="19"/>
      <c r="F224" s="19" t="s">
        <v>33</v>
      </c>
      <c r="G224" s="19" t="s">
        <v>34</v>
      </c>
      <c r="H224" s="21" t="s">
        <v>35</v>
      </c>
      <c r="I224" s="21" t="s">
        <v>36</v>
      </c>
      <c r="J224" s="19"/>
      <c r="K224" s="22"/>
      <c r="L224" s="21"/>
      <c r="M224" s="19"/>
    </row>
    <row r="225" spans="2:13" hidden="1" x14ac:dyDescent="0.2">
      <c r="B225" s="19"/>
      <c r="C225" s="19"/>
      <c r="D225" s="9" t="s">
        <v>43</v>
      </c>
      <c r="E225" s="10"/>
      <c r="F225" s="10"/>
      <c r="G225" s="11" t="s">
        <v>140</v>
      </c>
      <c r="H225" s="12">
        <v>1.0416666666666666E-2</v>
      </c>
      <c r="I225" s="12">
        <f>0</f>
        <v>0</v>
      </c>
      <c r="J225" s="10" t="s">
        <v>10</v>
      </c>
      <c r="K225" s="29">
        <f>IF(J225="FINALIZADA",1,IF(H225&lt;I225,0.99,I225/IF(H225=0,1,H225)))</f>
        <v>0</v>
      </c>
      <c r="L225" s="21"/>
      <c r="M225" s="19"/>
    </row>
    <row r="226" spans="2:13" hidden="1" x14ac:dyDescent="0.2">
      <c r="B226" s="19"/>
      <c r="C226" s="19"/>
      <c r="D226" s="19"/>
      <c r="E226" s="19"/>
      <c r="F226" s="30" t="s">
        <v>4</v>
      </c>
      <c r="G226" s="30" t="s">
        <v>5</v>
      </c>
      <c r="H226" s="31" t="s">
        <v>6</v>
      </c>
      <c r="I226" s="31" t="s">
        <v>32</v>
      </c>
      <c r="J226" s="19"/>
      <c r="K226" s="22"/>
      <c r="L226" s="21"/>
      <c r="M226" s="19"/>
    </row>
    <row r="227" spans="2:13" hidden="1" x14ac:dyDescent="0.2">
      <c r="B227" s="19"/>
      <c r="C227" s="19"/>
      <c r="D227" s="19"/>
      <c r="E227" s="19"/>
      <c r="F227" s="19" t="s">
        <v>33</v>
      </c>
      <c r="G227" s="19" t="s">
        <v>34</v>
      </c>
      <c r="H227" s="21" t="s">
        <v>35</v>
      </c>
      <c r="I227" s="21" t="s">
        <v>36</v>
      </c>
      <c r="J227" s="19"/>
      <c r="K227" s="22"/>
      <c r="L227" s="21"/>
      <c r="M227" s="19"/>
    </row>
    <row r="228" spans="2:13" hidden="1" x14ac:dyDescent="0.2">
      <c r="B228" s="19"/>
      <c r="C228" s="19"/>
      <c r="D228" s="9" t="s">
        <v>45</v>
      </c>
      <c r="E228" s="10"/>
      <c r="F228" s="10"/>
      <c r="G228" s="11" t="s">
        <v>141</v>
      </c>
      <c r="H228" s="12">
        <v>0.125</v>
      </c>
      <c r="I228" s="12">
        <f>0</f>
        <v>0</v>
      </c>
      <c r="J228" s="10" t="s">
        <v>10</v>
      </c>
      <c r="K228" s="29">
        <f>IF(J228="FINALIZADA",1,IF(H228&lt;I228,0.99,I228/IF(H228=0,1,H228)))</f>
        <v>0</v>
      </c>
      <c r="L228" s="21"/>
      <c r="M228" s="19"/>
    </row>
    <row r="229" spans="2:13" hidden="1" x14ac:dyDescent="0.2">
      <c r="B229" s="19"/>
      <c r="C229" s="19"/>
      <c r="D229" s="19"/>
      <c r="E229" s="19"/>
      <c r="F229" s="30" t="s">
        <v>4</v>
      </c>
      <c r="G229" s="30" t="s">
        <v>5</v>
      </c>
      <c r="H229" s="31" t="s">
        <v>6</v>
      </c>
      <c r="I229" s="31" t="s">
        <v>32</v>
      </c>
      <c r="J229" s="19"/>
      <c r="K229" s="22"/>
      <c r="L229" s="21"/>
      <c r="M229" s="19"/>
    </row>
    <row r="230" spans="2:13" hidden="1" x14ac:dyDescent="0.2">
      <c r="B230" s="19"/>
      <c r="C230" s="19"/>
      <c r="D230" s="19"/>
      <c r="E230" s="19"/>
      <c r="F230" s="19" t="s">
        <v>33</v>
      </c>
      <c r="G230" s="19" t="s">
        <v>34</v>
      </c>
      <c r="H230" s="21" t="s">
        <v>35</v>
      </c>
      <c r="I230" s="21" t="s">
        <v>36</v>
      </c>
      <c r="J230" s="19"/>
      <c r="K230" s="22"/>
      <c r="L230" s="21"/>
      <c r="M230" s="19"/>
    </row>
    <row r="231" spans="2:13" hidden="1" x14ac:dyDescent="0.2">
      <c r="B231" s="19"/>
      <c r="C231" s="8" t="s">
        <v>142</v>
      </c>
      <c r="D231" s="7"/>
      <c r="E231" s="7" t="s">
        <v>143</v>
      </c>
      <c r="F231" s="7"/>
      <c r="G231" s="7"/>
      <c r="H231" s="27">
        <f>0+H232+H235+H238+H241</f>
        <v>0.26041666666666663</v>
      </c>
      <c r="I231" s="27">
        <f>0+I232+I235+I238+I241</f>
        <v>0</v>
      </c>
      <c r="J231" s="7" t="s">
        <v>92</v>
      </c>
      <c r="K231" s="28">
        <f>(0+H232*K232+H235*K235+H238*K238+H241*K241)/IF(H231=0,1,H231)</f>
        <v>0</v>
      </c>
      <c r="L231" s="21"/>
      <c r="M231" s="19"/>
    </row>
    <row r="232" spans="2:13" hidden="1" x14ac:dyDescent="0.2">
      <c r="B232" s="19"/>
      <c r="C232" s="19"/>
      <c r="D232" s="9" t="s">
        <v>29</v>
      </c>
      <c r="E232" s="10"/>
      <c r="F232" s="10"/>
      <c r="G232" s="11" t="s">
        <v>144</v>
      </c>
      <c r="H232" s="12">
        <v>0.125</v>
      </c>
      <c r="I232" s="12">
        <f>0</f>
        <v>0</v>
      </c>
      <c r="J232" s="10" t="s">
        <v>10</v>
      </c>
      <c r="K232" s="29">
        <f>IF(J232="FINALIZADA",1,IF(H232&lt;I232,0.99,I232/IF(H232=0,1,H232)))</f>
        <v>0</v>
      </c>
      <c r="L232" s="21"/>
      <c r="M232" s="19"/>
    </row>
    <row r="233" spans="2:13" hidden="1" x14ac:dyDescent="0.2">
      <c r="B233" s="19"/>
      <c r="C233" s="19"/>
      <c r="D233" s="19"/>
      <c r="E233" s="19"/>
      <c r="F233" s="30" t="s">
        <v>4</v>
      </c>
      <c r="G233" s="30" t="s">
        <v>5</v>
      </c>
      <c r="H233" s="31" t="s">
        <v>6</v>
      </c>
      <c r="I233" s="31" t="s">
        <v>32</v>
      </c>
      <c r="J233" s="19"/>
      <c r="K233" s="22"/>
      <c r="L233" s="21"/>
      <c r="M233" s="19"/>
    </row>
    <row r="234" spans="2:13" hidden="1" x14ac:dyDescent="0.2">
      <c r="B234" s="19"/>
      <c r="C234" s="19"/>
      <c r="D234" s="19"/>
      <c r="E234" s="19"/>
      <c r="F234" s="19" t="s">
        <v>33</v>
      </c>
      <c r="G234" s="19" t="s">
        <v>34</v>
      </c>
      <c r="H234" s="21" t="s">
        <v>35</v>
      </c>
      <c r="I234" s="21" t="s">
        <v>36</v>
      </c>
      <c r="J234" s="19"/>
      <c r="K234" s="22"/>
      <c r="L234" s="21"/>
      <c r="M234" s="19"/>
    </row>
    <row r="235" spans="2:13" hidden="1" x14ac:dyDescent="0.2">
      <c r="B235" s="19"/>
      <c r="C235" s="19"/>
      <c r="D235" s="9" t="s">
        <v>41</v>
      </c>
      <c r="E235" s="10"/>
      <c r="F235" s="10"/>
      <c r="G235" s="11" t="s">
        <v>145</v>
      </c>
      <c r="H235" s="12">
        <v>8.3333333333333329E-2</v>
      </c>
      <c r="I235" s="12">
        <f>0</f>
        <v>0</v>
      </c>
      <c r="J235" s="10" t="s">
        <v>10</v>
      </c>
      <c r="K235" s="29">
        <f>IF(J235="FINALIZADA",1,IF(H235&lt;I235,0.99,I235/IF(H235=0,1,H235)))</f>
        <v>0</v>
      </c>
      <c r="L235" s="21"/>
      <c r="M235" s="19"/>
    </row>
    <row r="236" spans="2:13" hidden="1" x14ac:dyDescent="0.2">
      <c r="B236" s="19"/>
      <c r="C236" s="19"/>
      <c r="D236" s="19"/>
      <c r="E236" s="19"/>
      <c r="F236" s="30" t="s">
        <v>4</v>
      </c>
      <c r="G236" s="30" t="s">
        <v>5</v>
      </c>
      <c r="H236" s="31" t="s">
        <v>6</v>
      </c>
      <c r="I236" s="31" t="s">
        <v>32</v>
      </c>
      <c r="J236" s="19"/>
      <c r="K236" s="22"/>
      <c r="L236" s="21"/>
      <c r="M236" s="19"/>
    </row>
    <row r="237" spans="2:13" hidden="1" x14ac:dyDescent="0.2">
      <c r="B237" s="19"/>
      <c r="C237" s="19"/>
      <c r="D237" s="19"/>
      <c r="E237" s="19"/>
      <c r="F237" s="19" t="s">
        <v>33</v>
      </c>
      <c r="G237" s="19" t="s">
        <v>34</v>
      </c>
      <c r="H237" s="21" t="s">
        <v>35</v>
      </c>
      <c r="I237" s="21" t="s">
        <v>36</v>
      </c>
      <c r="J237" s="19"/>
      <c r="K237" s="22"/>
      <c r="L237" s="21"/>
      <c r="M237" s="19"/>
    </row>
    <row r="238" spans="2:13" hidden="1" x14ac:dyDescent="0.2">
      <c r="B238" s="19"/>
      <c r="C238" s="19"/>
      <c r="D238" s="9" t="s">
        <v>43</v>
      </c>
      <c r="E238" s="10"/>
      <c r="F238" s="10"/>
      <c r="G238" s="11" t="s">
        <v>146</v>
      </c>
      <c r="H238" s="12">
        <v>1.0416666666666666E-2</v>
      </c>
      <c r="I238" s="12">
        <f>0</f>
        <v>0</v>
      </c>
      <c r="J238" s="10" t="s">
        <v>10</v>
      </c>
      <c r="K238" s="29">
        <f>IF(J238="FINALIZADA",1,IF(H238&lt;I238,0.99,I238/IF(H238=0,1,H238)))</f>
        <v>0</v>
      </c>
      <c r="L238" s="21"/>
      <c r="M238" s="19"/>
    </row>
    <row r="239" spans="2:13" hidden="1" x14ac:dyDescent="0.2">
      <c r="B239" s="19"/>
      <c r="C239" s="19"/>
      <c r="D239" s="19"/>
      <c r="E239" s="19"/>
      <c r="F239" s="30" t="s">
        <v>4</v>
      </c>
      <c r="G239" s="30" t="s">
        <v>5</v>
      </c>
      <c r="H239" s="31" t="s">
        <v>6</v>
      </c>
      <c r="I239" s="31" t="s">
        <v>32</v>
      </c>
      <c r="J239" s="19"/>
      <c r="K239" s="22"/>
      <c r="L239" s="21"/>
      <c r="M239" s="19"/>
    </row>
    <row r="240" spans="2:13" hidden="1" x14ac:dyDescent="0.2">
      <c r="B240" s="19"/>
      <c r="C240" s="19"/>
      <c r="D240" s="19"/>
      <c r="E240" s="19"/>
      <c r="F240" s="19" t="s">
        <v>33</v>
      </c>
      <c r="G240" s="19" t="s">
        <v>34</v>
      </c>
      <c r="H240" s="21" t="s">
        <v>35</v>
      </c>
      <c r="I240" s="21" t="s">
        <v>36</v>
      </c>
      <c r="J240" s="19"/>
      <c r="K240" s="22"/>
      <c r="L240" s="21"/>
      <c r="M240" s="19"/>
    </row>
    <row r="241" spans="2:13" hidden="1" x14ac:dyDescent="0.2">
      <c r="B241" s="19"/>
      <c r="C241" s="19"/>
      <c r="D241" s="9" t="s">
        <v>45</v>
      </c>
      <c r="E241" s="10"/>
      <c r="F241" s="10"/>
      <c r="G241" s="11" t="s">
        <v>147</v>
      </c>
      <c r="H241" s="12">
        <v>4.1666666666666664E-2</v>
      </c>
      <c r="I241" s="12">
        <f>0</f>
        <v>0</v>
      </c>
      <c r="J241" s="10" t="s">
        <v>10</v>
      </c>
      <c r="K241" s="29">
        <f>IF(J241="FINALIZADA",1,IF(H241&lt;I241,0.99,I241/IF(H241=0,1,H241)))</f>
        <v>0</v>
      </c>
      <c r="L241" s="21"/>
      <c r="M241" s="19"/>
    </row>
    <row r="242" spans="2:13" hidden="1" x14ac:dyDescent="0.2">
      <c r="B242" s="19"/>
      <c r="C242" s="19"/>
      <c r="D242" s="19"/>
      <c r="E242" s="19"/>
      <c r="F242" s="30" t="s">
        <v>4</v>
      </c>
      <c r="G242" s="30" t="s">
        <v>5</v>
      </c>
      <c r="H242" s="31" t="s">
        <v>6</v>
      </c>
      <c r="I242" s="31" t="s">
        <v>32</v>
      </c>
      <c r="J242" s="19"/>
      <c r="K242" s="22"/>
      <c r="L242" s="21"/>
      <c r="M242" s="19"/>
    </row>
    <row r="243" spans="2:13" hidden="1" x14ac:dyDescent="0.2">
      <c r="B243" s="19"/>
      <c r="C243" s="19"/>
      <c r="D243" s="19"/>
      <c r="E243" s="19"/>
      <c r="F243" s="19" t="s">
        <v>33</v>
      </c>
      <c r="G243" s="19" t="s">
        <v>34</v>
      </c>
      <c r="H243" s="21" t="s">
        <v>35</v>
      </c>
      <c r="I243" s="21" t="s">
        <v>36</v>
      </c>
      <c r="J243" s="19"/>
      <c r="K243" s="22"/>
      <c r="L243" s="21"/>
      <c r="M243" s="19"/>
    </row>
    <row r="244" spans="2:13" hidden="1" x14ac:dyDescent="0.2">
      <c r="B244" s="19"/>
      <c r="C244" s="8" t="s">
        <v>148</v>
      </c>
      <c r="D244" s="7"/>
      <c r="E244" s="7" t="s">
        <v>149</v>
      </c>
      <c r="F244" s="7"/>
      <c r="G244" s="7"/>
      <c r="H244" s="27">
        <f>0+H245+H248</f>
        <v>0.14583333333333334</v>
      </c>
      <c r="I244" s="27">
        <f>0+I245+I248</f>
        <v>0</v>
      </c>
      <c r="J244" s="7" t="s">
        <v>92</v>
      </c>
      <c r="K244" s="28">
        <f>(0+H245*K245+H248*K248)/IF(H244=0,1,H244)</f>
        <v>0</v>
      </c>
      <c r="L244" s="21"/>
      <c r="M244" s="19"/>
    </row>
    <row r="245" spans="2:13" hidden="1" x14ac:dyDescent="0.2">
      <c r="B245" s="19"/>
      <c r="C245" s="19"/>
      <c r="D245" s="9" t="s">
        <v>29</v>
      </c>
      <c r="E245" s="10"/>
      <c r="F245" s="10"/>
      <c r="G245" s="11" t="s">
        <v>150</v>
      </c>
      <c r="H245" s="12">
        <v>7.2916666666666671E-2</v>
      </c>
      <c r="I245" s="12">
        <f>0</f>
        <v>0</v>
      </c>
      <c r="J245" s="10" t="s">
        <v>10</v>
      </c>
      <c r="K245" s="29">
        <f>IF(J245="FINALIZADA",1,IF(H245&lt;I245,0.99,I245/IF(H245=0,1,H245)))</f>
        <v>0</v>
      </c>
      <c r="L245" s="21"/>
      <c r="M245" s="19"/>
    </row>
    <row r="246" spans="2:13" hidden="1" x14ac:dyDescent="0.2">
      <c r="B246" s="19"/>
      <c r="C246" s="19"/>
      <c r="D246" s="19"/>
      <c r="E246" s="19"/>
      <c r="F246" s="30" t="s">
        <v>4</v>
      </c>
      <c r="G246" s="30" t="s">
        <v>5</v>
      </c>
      <c r="H246" s="31" t="s">
        <v>6</v>
      </c>
      <c r="I246" s="31" t="s">
        <v>32</v>
      </c>
      <c r="J246" s="19"/>
      <c r="K246" s="22"/>
      <c r="L246" s="21"/>
      <c r="M246" s="19"/>
    </row>
    <row r="247" spans="2:13" hidden="1" x14ac:dyDescent="0.2">
      <c r="B247" s="19"/>
      <c r="C247" s="19"/>
      <c r="D247" s="19"/>
      <c r="E247" s="19"/>
      <c r="F247" s="19" t="s">
        <v>33</v>
      </c>
      <c r="G247" s="19" t="s">
        <v>34</v>
      </c>
      <c r="H247" s="21" t="s">
        <v>35</v>
      </c>
      <c r="I247" s="21" t="s">
        <v>36</v>
      </c>
      <c r="J247" s="19"/>
      <c r="K247" s="22"/>
      <c r="L247" s="21"/>
      <c r="M247" s="19"/>
    </row>
    <row r="248" spans="2:13" hidden="1" x14ac:dyDescent="0.2">
      <c r="B248" s="19"/>
      <c r="C248" s="19"/>
      <c r="D248" s="9" t="s">
        <v>41</v>
      </c>
      <c r="E248" s="10"/>
      <c r="F248" s="10"/>
      <c r="G248" s="11" t="s">
        <v>151</v>
      </c>
      <c r="H248" s="12">
        <v>7.2916666666666671E-2</v>
      </c>
      <c r="I248" s="12">
        <f>0</f>
        <v>0</v>
      </c>
      <c r="J248" s="10" t="s">
        <v>10</v>
      </c>
      <c r="K248" s="29">
        <f>IF(J248="FINALIZADA",1,IF(H248&lt;I248,0.99,I248/IF(H248=0,1,H248)))</f>
        <v>0</v>
      </c>
      <c r="L248" s="21"/>
      <c r="M248" s="19"/>
    </row>
    <row r="249" spans="2:13" hidden="1" x14ac:dyDescent="0.2">
      <c r="B249" s="19"/>
      <c r="C249" s="19"/>
      <c r="D249" s="19"/>
      <c r="E249" s="19"/>
      <c r="F249" s="30" t="s">
        <v>4</v>
      </c>
      <c r="G249" s="30" t="s">
        <v>5</v>
      </c>
      <c r="H249" s="31" t="s">
        <v>6</v>
      </c>
      <c r="I249" s="31" t="s">
        <v>32</v>
      </c>
      <c r="J249" s="19"/>
      <c r="K249" s="22"/>
      <c r="L249" s="21"/>
      <c r="M249" s="19"/>
    </row>
    <row r="250" spans="2:13" hidden="1" x14ac:dyDescent="0.2">
      <c r="B250" s="19"/>
      <c r="C250" s="19"/>
      <c r="D250" s="19"/>
      <c r="E250" s="19"/>
      <c r="F250" s="19" t="s">
        <v>33</v>
      </c>
      <c r="G250" s="19" t="s">
        <v>34</v>
      </c>
      <c r="H250" s="21" t="s">
        <v>35</v>
      </c>
      <c r="I250" s="21" t="s">
        <v>36</v>
      </c>
      <c r="J250" s="19"/>
      <c r="K250" s="22"/>
      <c r="L250" s="21"/>
      <c r="M250" s="19"/>
    </row>
    <row r="251" spans="2:13" x14ac:dyDescent="0.2">
      <c r="B251" s="6">
        <v>26739</v>
      </c>
      <c r="C251" s="1" t="s">
        <v>152</v>
      </c>
      <c r="D251" s="1" t="s">
        <v>83</v>
      </c>
      <c r="E251" s="1" t="s">
        <v>153</v>
      </c>
      <c r="F251" s="5">
        <v>42695</v>
      </c>
      <c r="G251" s="1" t="s">
        <v>154</v>
      </c>
      <c r="H251" s="23">
        <f>0+H252+H274+H278</f>
        <v>2.2916666666666665</v>
      </c>
      <c r="I251" s="23">
        <f>0+I252+I274+I278</f>
        <v>0.14583333333333334</v>
      </c>
      <c r="J251" s="1" t="s">
        <v>11</v>
      </c>
      <c r="K251" s="24">
        <f>(0+H252*K252+H274*K274+H278*K278)/IF(H251=0,1,H251)</f>
        <v>5.4000000000000006E-2</v>
      </c>
      <c r="L251" s="25">
        <f>(1-K251)*H251</f>
        <v>2.1679166666666663</v>
      </c>
      <c r="M251" s="26"/>
    </row>
    <row r="252" spans="2:13" hidden="1" x14ac:dyDescent="0.2">
      <c r="B252" s="19"/>
      <c r="C252" s="8" t="s">
        <v>152</v>
      </c>
      <c r="D252" s="7"/>
      <c r="E252" s="7" t="s">
        <v>155</v>
      </c>
      <c r="F252" s="7"/>
      <c r="G252" s="7"/>
      <c r="H252" s="27">
        <f>0+H253+H256+H259+H262+H265+H268+H271</f>
        <v>1.3958333333333333</v>
      </c>
      <c r="I252" s="27">
        <f>0+I253+I256+I259+I262+I265+I268+I271</f>
        <v>0.14583333333333334</v>
      </c>
      <c r="J252" s="7" t="s">
        <v>11</v>
      </c>
      <c r="K252" s="28">
        <f>(0+H253*K253+H256*K256+H259*K259+H262*K262+H265*K265+H268*K268+H271*K271)/IF(H252=0,1,H252)</f>
        <v>8.8656716417910453E-2</v>
      </c>
      <c r="L252" s="21"/>
      <c r="M252" s="19"/>
    </row>
    <row r="253" spans="2:13" hidden="1" x14ac:dyDescent="0.2">
      <c r="B253" s="19"/>
      <c r="C253" s="19"/>
      <c r="D253" s="9" t="s">
        <v>29</v>
      </c>
      <c r="E253" s="10"/>
      <c r="F253" s="10"/>
      <c r="G253" s="11" t="s">
        <v>156</v>
      </c>
      <c r="H253" s="12">
        <v>0.125</v>
      </c>
      <c r="I253" s="12">
        <f>0+I255</f>
        <v>0.14583333333333334</v>
      </c>
      <c r="J253" s="10" t="s">
        <v>11</v>
      </c>
      <c r="K253" s="29">
        <f>IF(J253="FINALIZADA",1,IF(H253&lt;I253,0.99,I253/IF(H253=0,1,H253)))</f>
        <v>0.99</v>
      </c>
      <c r="L253" s="21"/>
      <c r="M253" s="19"/>
    </row>
    <row r="254" spans="2:13" hidden="1" x14ac:dyDescent="0.2">
      <c r="B254" s="19"/>
      <c r="C254" s="19"/>
      <c r="D254" s="19"/>
      <c r="E254" s="19"/>
      <c r="F254" s="30" t="s">
        <v>4</v>
      </c>
      <c r="G254" s="30" t="s">
        <v>5</v>
      </c>
      <c r="H254" s="31" t="s">
        <v>6</v>
      </c>
      <c r="I254" s="31" t="s">
        <v>32</v>
      </c>
      <c r="J254" s="19"/>
      <c r="K254" s="22"/>
      <c r="L254" s="21"/>
      <c r="M254" s="19"/>
    </row>
    <row r="255" spans="2:13" hidden="1" x14ac:dyDescent="0.2">
      <c r="B255" s="19"/>
      <c r="C255" s="19"/>
      <c r="D255" s="19"/>
      <c r="E255" s="19"/>
      <c r="F255" s="20">
        <v>42695</v>
      </c>
      <c r="G255" s="19" t="s">
        <v>13</v>
      </c>
      <c r="H255" s="21" t="s">
        <v>8</v>
      </c>
      <c r="I255" s="21">
        <v>0.14583333333333334</v>
      </c>
      <c r="J255" s="19"/>
      <c r="K255" s="22"/>
      <c r="L255" s="21"/>
      <c r="M255" s="19"/>
    </row>
    <row r="256" spans="2:13" hidden="1" x14ac:dyDescent="0.2">
      <c r="B256" s="19"/>
      <c r="C256" s="19"/>
      <c r="D256" s="9" t="s">
        <v>41</v>
      </c>
      <c r="E256" s="10"/>
      <c r="F256" s="10"/>
      <c r="G256" s="11" t="s">
        <v>157</v>
      </c>
      <c r="H256" s="12">
        <v>1</v>
      </c>
      <c r="I256" s="12">
        <f>0</f>
        <v>0</v>
      </c>
      <c r="J256" s="10" t="s">
        <v>10</v>
      </c>
      <c r="K256" s="29">
        <f>IF(J256="FINALIZADA",1,IF(H256&lt;I256,0.99,I256/IF(H256=0,1,H256)))</f>
        <v>0</v>
      </c>
      <c r="L256" s="21"/>
      <c r="M256" s="19"/>
    </row>
    <row r="257" spans="2:13" hidden="1" x14ac:dyDescent="0.2">
      <c r="B257" s="19"/>
      <c r="C257" s="19"/>
      <c r="D257" s="19"/>
      <c r="E257" s="19"/>
      <c r="F257" s="30" t="s">
        <v>4</v>
      </c>
      <c r="G257" s="30" t="s">
        <v>5</v>
      </c>
      <c r="H257" s="31" t="s">
        <v>6</v>
      </c>
      <c r="I257" s="31" t="s">
        <v>32</v>
      </c>
      <c r="J257" s="19"/>
      <c r="K257" s="22"/>
      <c r="L257" s="21"/>
      <c r="M257" s="19"/>
    </row>
    <row r="258" spans="2:13" hidden="1" x14ac:dyDescent="0.2">
      <c r="B258" s="19"/>
      <c r="C258" s="19"/>
      <c r="D258" s="19"/>
      <c r="E258" s="19"/>
      <c r="F258" s="19" t="s">
        <v>33</v>
      </c>
      <c r="G258" s="19" t="s">
        <v>34</v>
      </c>
      <c r="H258" s="21" t="s">
        <v>35</v>
      </c>
      <c r="I258" s="21" t="s">
        <v>36</v>
      </c>
      <c r="J258" s="19"/>
      <c r="K258" s="22"/>
      <c r="L258" s="21"/>
      <c r="M258" s="19"/>
    </row>
    <row r="259" spans="2:13" hidden="1" x14ac:dyDescent="0.2">
      <c r="B259" s="19"/>
      <c r="C259" s="19"/>
      <c r="D259" s="9" t="s">
        <v>43</v>
      </c>
      <c r="E259" s="10"/>
      <c r="F259" s="10"/>
      <c r="G259" s="11" t="s">
        <v>158</v>
      </c>
      <c r="H259" s="12">
        <v>4.1666666666666664E-2</v>
      </c>
      <c r="I259" s="12">
        <f>0</f>
        <v>0</v>
      </c>
      <c r="J259" s="10" t="s">
        <v>10</v>
      </c>
      <c r="K259" s="29">
        <f>IF(J259="FINALIZADA",1,IF(H259&lt;I259,0.99,I259/IF(H259=0,1,H259)))</f>
        <v>0</v>
      </c>
      <c r="L259" s="21"/>
      <c r="M259" s="19"/>
    </row>
    <row r="260" spans="2:13" hidden="1" x14ac:dyDescent="0.2">
      <c r="B260" s="19"/>
      <c r="C260" s="19"/>
      <c r="D260" s="19"/>
      <c r="E260" s="19"/>
      <c r="F260" s="30" t="s">
        <v>4</v>
      </c>
      <c r="G260" s="30" t="s">
        <v>5</v>
      </c>
      <c r="H260" s="31" t="s">
        <v>6</v>
      </c>
      <c r="I260" s="31" t="s">
        <v>32</v>
      </c>
      <c r="J260" s="19"/>
      <c r="K260" s="22"/>
      <c r="L260" s="21"/>
      <c r="M260" s="19"/>
    </row>
    <row r="261" spans="2:13" hidden="1" x14ac:dyDescent="0.2">
      <c r="B261" s="19"/>
      <c r="C261" s="19"/>
      <c r="D261" s="19"/>
      <c r="E261" s="19"/>
      <c r="F261" s="19" t="s">
        <v>33</v>
      </c>
      <c r="G261" s="19" t="s">
        <v>34</v>
      </c>
      <c r="H261" s="21" t="s">
        <v>35</v>
      </c>
      <c r="I261" s="21" t="s">
        <v>36</v>
      </c>
      <c r="J261" s="19"/>
      <c r="K261" s="22"/>
      <c r="L261" s="21"/>
      <c r="M261" s="19"/>
    </row>
    <row r="262" spans="2:13" hidden="1" x14ac:dyDescent="0.2">
      <c r="B262" s="19"/>
      <c r="C262" s="19"/>
      <c r="D262" s="9" t="s">
        <v>45</v>
      </c>
      <c r="E262" s="10"/>
      <c r="F262" s="10"/>
      <c r="G262" s="11" t="s">
        <v>159</v>
      </c>
      <c r="H262" s="12">
        <v>8.3333333333333329E-2</v>
      </c>
      <c r="I262" s="12">
        <f>0</f>
        <v>0</v>
      </c>
      <c r="J262" s="10" t="s">
        <v>10</v>
      </c>
      <c r="K262" s="29">
        <f>IF(J262="FINALIZADA",1,IF(H262&lt;I262,0.99,I262/IF(H262=0,1,H262)))</f>
        <v>0</v>
      </c>
      <c r="L262" s="21"/>
      <c r="M262" s="19"/>
    </row>
    <row r="263" spans="2:13" hidden="1" x14ac:dyDescent="0.2">
      <c r="B263" s="19"/>
      <c r="C263" s="19"/>
      <c r="D263" s="19"/>
      <c r="E263" s="19"/>
      <c r="F263" s="30" t="s">
        <v>4</v>
      </c>
      <c r="G263" s="30" t="s">
        <v>5</v>
      </c>
      <c r="H263" s="31" t="s">
        <v>6</v>
      </c>
      <c r="I263" s="31" t="s">
        <v>32</v>
      </c>
      <c r="J263" s="19"/>
      <c r="K263" s="22"/>
      <c r="L263" s="21"/>
      <c r="M263" s="19"/>
    </row>
    <row r="264" spans="2:13" hidden="1" x14ac:dyDescent="0.2">
      <c r="B264" s="19"/>
      <c r="C264" s="19"/>
      <c r="D264" s="19"/>
      <c r="E264" s="19"/>
      <c r="F264" s="19" t="s">
        <v>33</v>
      </c>
      <c r="G264" s="19" t="s">
        <v>34</v>
      </c>
      <c r="H264" s="21" t="s">
        <v>35</v>
      </c>
      <c r="I264" s="21" t="s">
        <v>36</v>
      </c>
      <c r="J264" s="19"/>
      <c r="K264" s="22"/>
      <c r="L264" s="21"/>
      <c r="M264" s="19"/>
    </row>
    <row r="265" spans="2:13" hidden="1" x14ac:dyDescent="0.2">
      <c r="B265" s="19"/>
      <c r="C265" s="19"/>
      <c r="D265" s="9" t="s">
        <v>62</v>
      </c>
      <c r="E265" s="10"/>
      <c r="F265" s="10"/>
      <c r="G265" s="11" t="s">
        <v>160</v>
      </c>
      <c r="H265" s="12">
        <v>2.0833333333333332E-2</v>
      </c>
      <c r="I265" s="12">
        <f>0</f>
        <v>0</v>
      </c>
      <c r="J265" s="10" t="s">
        <v>10</v>
      </c>
      <c r="K265" s="29">
        <f>IF(J265="FINALIZADA",1,IF(H265&lt;I265,0.99,I265/IF(H265=0,1,H265)))</f>
        <v>0</v>
      </c>
      <c r="L265" s="21"/>
      <c r="M265" s="19"/>
    </row>
    <row r="266" spans="2:13" hidden="1" x14ac:dyDescent="0.2">
      <c r="B266" s="19"/>
      <c r="C266" s="19"/>
      <c r="D266" s="19"/>
      <c r="E266" s="19"/>
      <c r="F266" s="30" t="s">
        <v>4</v>
      </c>
      <c r="G266" s="30" t="s">
        <v>5</v>
      </c>
      <c r="H266" s="31" t="s">
        <v>6</v>
      </c>
      <c r="I266" s="31" t="s">
        <v>32</v>
      </c>
      <c r="J266" s="19"/>
      <c r="K266" s="22"/>
      <c r="L266" s="21"/>
      <c r="M266" s="19"/>
    </row>
    <row r="267" spans="2:13" hidden="1" x14ac:dyDescent="0.2">
      <c r="B267" s="19"/>
      <c r="C267" s="19"/>
      <c r="D267" s="19"/>
      <c r="E267" s="19"/>
      <c r="F267" s="19" t="s">
        <v>33</v>
      </c>
      <c r="G267" s="19" t="s">
        <v>34</v>
      </c>
      <c r="H267" s="21" t="s">
        <v>35</v>
      </c>
      <c r="I267" s="21" t="s">
        <v>36</v>
      </c>
      <c r="J267" s="19"/>
      <c r="K267" s="22"/>
      <c r="L267" s="21"/>
      <c r="M267" s="19"/>
    </row>
    <row r="268" spans="2:13" hidden="1" x14ac:dyDescent="0.2">
      <c r="B268" s="19"/>
      <c r="C268" s="19"/>
      <c r="D268" s="9" t="s">
        <v>121</v>
      </c>
      <c r="E268" s="10"/>
      <c r="F268" s="10"/>
      <c r="G268" s="11" t="s">
        <v>161</v>
      </c>
      <c r="H268" s="12">
        <v>4.1666666666666664E-2</v>
      </c>
      <c r="I268" s="12">
        <f>0</f>
        <v>0</v>
      </c>
      <c r="J268" s="10" t="s">
        <v>10</v>
      </c>
      <c r="K268" s="29">
        <f>IF(J268="FINALIZADA",1,IF(H268&lt;I268,0.99,I268/IF(H268=0,1,H268)))</f>
        <v>0</v>
      </c>
      <c r="L268" s="21"/>
      <c r="M268" s="19"/>
    </row>
    <row r="269" spans="2:13" hidden="1" x14ac:dyDescent="0.2">
      <c r="B269" s="19"/>
      <c r="C269" s="19"/>
      <c r="D269" s="19"/>
      <c r="E269" s="19"/>
      <c r="F269" s="30" t="s">
        <v>4</v>
      </c>
      <c r="G269" s="30" t="s">
        <v>5</v>
      </c>
      <c r="H269" s="31" t="s">
        <v>6</v>
      </c>
      <c r="I269" s="31" t="s">
        <v>32</v>
      </c>
      <c r="J269" s="19"/>
      <c r="K269" s="22"/>
      <c r="L269" s="21"/>
      <c r="M269" s="19"/>
    </row>
    <row r="270" spans="2:13" hidden="1" x14ac:dyDescent="0.2">
      <c r="B270" s="19"/>
      <c r="C270" s="19"/>
      <c r="D270" s="19"/>
      <c r="E270" s="19"/>
      <c r="F270" s="19" t="s">
        <v>33</v>
      </c>
      <c r="G270" s="19" t="s">
        <v>34</v>
      </c>
      <c r="H270" s="21" t="s">
        <v>35</v>
      </c>
      <c r="I270" s="21" t="s">
        <v>36</v>
      </c>
      <c r="J270" s="19"/>
      <c r="K270" s="22"/>
      <c r="L270" s="21"/>
      <c r="M270" s="19"/>
    </row>
    <row r="271" spans="2:13" hidden="1" x14ac:dyDescent="0.2">
      <c r="B271" s="19"/>
      <c r="C271" s="19"/>
      <c r="D271" s="9" t="s">
        <v>123</v>
      </c>
      <c r="E271" s="10"/>
      <c r="F271" s="10"/>
      <c r="G271" s="11" t="s">
        <v>162</v>
      </c>
      <c r="H271" s="12">
        <v>8.3333333333333329E-2</v>
      </c>
      <c r="I271" s="12">
        <f>0</f>
        <v>0</v>
      </c>
      <c r="J271" s="10" t="s">
        <v>10</v>
      </c>
      <c r="K271" s="29">
        <f>IF(J271="FINALIZADA",1,IF(H271&lt;I271,0.99,I271/IF(H271=0,1,H271)))</f>
        <v>0</v>
      </c>
      <c r="L271" s="21"/>
      <c r="M271" s="19"/>
    </row>
    <row r="272" spans="2:13" hidden="1" x14ac:dyDescent="0.2">
      <c r="B272" s="19"/>
      <c r="C272" s="19"/>
      <c r="D272" s="19"/>
      <c r="E272" s="19"/>
      <c r="F272" s="30" t="s">
        <v>4</v>
      </c>
      <c r="G272" s="30" t="s">
        <v>5</v>
      </c>
      <c r="H272" s="31" t="s">
        <v>6</v>
      </c>
      <c r="I272" s="31" t="s">
        <v>32</v>
      </c>
      <c r="J272" s="19"/>
      <c r="K272" s="22"/>
      <c r="L272" s="21"/>
      <c r="M272" s="19"/>
    </row>
    <row r="273" spans="2:13" hidden="1" x14ac:dyDescent="0.2">
      <c r="B273" s="19"/>
      <c r="C273" s="19"/>
      <c r="D273" s="19"/>
      <c r="E273" s="19"/>
      <c r="F273" s="19" t="s">
        <v>33</v>
      </c>
      <c r="G273" s="19" t="s">
        <v>34</v>
      </c>
      <c r="H273" s="21" t="s">
        <v>35</v>
      </c>
      <c r="I273" s="21" t="s">
        <v>36</v>
      </c>
      <c r="J273" s="19"/>
      <c r="K273" s="22"/>
      <c r="L273" s="21"/>
      <c r="M273" s="19"/>
    </row>
    <row r="274" spans="2:13" hidden="1" x14ac:dyDescent="0.2">
      <c r="B274" s="19"/>
      <c r="C274" s="8" t="s">
        <v>163</v>
      </c>
      <c r="D274" s="7"/>
      <c r="E274" s="7" t="s">
        <v>164</v>
      </c>
      <c r="F274" s="7"/>
      <c r="G274" s="7"/>
      <c r="H274" s="27">
        <f>0+H275</f>
        <v>0.125</v>
      </c>
      <c r="I274" s="27">
        <f>0+I275</f>
        <v>0</v>
      </c>
      <c r="J274" s="7" t="s">
        <v>28</v>
      </c>
      <c r="K274" s="28">
        <f>(0+H275*K275)/IF(H274=0,1,H274)</f>
        <v>0</v>
      </c>
      <c r="L274" s="21"/>
      <c r="M274" s="19"/>
    </row>
    <row r="275" spans="2:13" hidden="1" x14ac:dyDescent="0.2">
      <c r="B275" s="19"/>
      <c r="C275" s="19"/>
      <c r="D275" s="9" t="s">
        <v>29</v>
      </c>
      <c r="E275" s="10"/>
      <c r="F275" s="10"/>
      <c r="G275" s="11" t="s">
        <v>165</v>
      </c>
      <c r="H275" s="12">
        <v>0.125</v>
      </c>
      <c r="I275" s="12">
        <f>0</f>
        <v>0</v>
      </c>
      <c r="J275" s="10" t="s">
        <v>10</v>
      </c>
      <c r="K275" s="29">
        <f>IF(J275="FINALIZADA",1,IF(H275&lt;I275,0.99,I275/IF(H275=0,1,H275)))</f>
        <v>0</v>
      </c>
      <c r="L275" s="21"/>
      <c r="M275" s="19"/>
    </row>
    <row r="276" spans="2:13" hidden="1" x14ac:dyDescent="0.2">
      <c r="B276" s="19"/>
      <c r="C276" s="19"/>
      <c r="D276" s="19"/>
      <c r="E276" s="19"/>
      <c r="F276" s="30" t="s">
        <v>4</v>
      </c>
      <c r="G276" s="30" t="s">
        <v>5</v>
      </c>
      <c r="H276" s="31" t="s">
        <v>6</v>
      </c>
      <c r="I276" s="31" t="s">
        <v>32</v>
      </c>
      <c r="J276" s="19"/>
      <c r="K276" s="22"/>
      <c r="L276" s="21"/>
      <c r="M276" s="19"/>
    </row>
    <row r="277" spans="2:13" hidden="1" x14ac:dyDescent="0.2">
      <c r="B277" s="19"/>
      <c r="C277" s="19"/>
      <c r="D277" s="19"/>
      <c r="E277" s="19"/>
      <c r="F277" s="19" t="s">
        <v>33</v>
      </c>
      <c r="G277" s="19" t="s">
        <v>34</v>
      </c>
      <c r="H277" s="21" t="s">
        <v>35</v>
      </c>
      <c r="I277" s="21" t="s">
        <v>36</v>
      </c>
      <c r="J277" s="19"/>
      <c r="K277" s="22"/>
      <c r="L277" s="21"/>
      <c r="M277" s="19"/>
    </row>
    <row r="278" spans="2:13" hidden="1" x14ac:dyDescent="0.2">
      <c r="B278" s="19"/>
      <c r="C278" s="8" t="s">
        <v>166</v>
      </c>
      <c r="D278" s="7"/>
      <c r="E278" s="7" t="s">
        <v>167</v>
      </c>
      <c r="F278" s="7"/>
      <c r="G278" s="7"/>
      <c r="H278" s="27">
        <f>0+H279+H282</f>
        <v>0.77083333333333337</v>
      </c>
      <c r="I278" s="27">
        <f>0+I279+I282</f>
        <v>0</v>
      </c>
      <c r="J278" s="7" t="s">
        <v>28</v>
      </c>
      <c r="K278" s="28">
        <f>(0+H279*K279+H282*K282)/IF(H278=0,1,H278)</f>
        <v>0</v>
      </c>
      <c r="L278" s="21"/>
      <c r="M278" s="19"/>
    </row>
    <row r="279" spans="2:13" hidden="1" x14ac:dyDescent="0.2">
      <c r="B279" s="19"/>
      <c r="C279" s="19"/>
      <c r="D279" s="9" t="s">
        <v>29</v>
      </c>
      <c r="E279" s="10"/>
      <c r="F279" s="10"/>
      <c r="G279" s="11" t="s">
        <v>168</v>
      </c>
      <c r="H279" s="12">
        <v>0.1875</v>
      </c>
      <c r="I279" s="12">
        <f>0</f>
        <v>0</v>
      </c>
      <c r="J279" s="10" t="s">
        <v>10</v>
      </c>
      <c r="K279" s="29">
        <f>IF(J279="FINALIZADA",1,IF(H279&lt;I279,0.99,I279/IF(H279=0,1,H279)))</f>
        <v>0</v>
      </c>
      <c r="L279" s="21"/>
      <c r="M279" s="19"/>
    </row>
    <row r="280" spans="2:13" hidden="1" x14ac:dyDescent="0.2">
      <c r="B280" s="19"/>
      <c r="C280" s="19"/>
      <c r="D280" s="19"/>
      <c r="E280" s="19"/>
      <c r="F280" s="30" t="s">
        <v>4</v>
      </c>
      <c r="G280" s="30" t="s">
        <v>5</v>
      </c>
      <c r="H280" s="31" t="s">
        <v>6</v>
      </c>
      <c r="I280" s="31" t="s">
        <v>32</v>
      </c>
      <c r="J280" s="19"/>
      <c r="K280" s="22"/>
      <c r="L280" s="21"/>
      <c r="M280" s="19"/>
    </row>
    <row r="281" spans="2:13" hidden="1" x14ac:dyDescent="0.2">
      <c r="B281" s="19"/>
      <c r="C281" s="19"/>
      <c r="D281" s="19"/>
      <c r="E281" s="19"/>
      <c r="F281" s="19" t="s">
        <v>33</v>
      </c>
      <c r="G281" s="19" t="s">
        <v>34</v>
      </c>
      <c r="H281" s="21" t="s">
        <v>35</v>
      </c>
      <c r="I281" s="21" t="s">
        <v>36</v>
      </c>
      <c r="J281" s="19"/>
      <c r="K281" s="22"/>
      <c r="L281" s="21"/>
      <c r="M281" s="19"/>
    </row>
    <row r="282" spans="2:13" hidden="1" x14ac:dyDescent="0.2">
      <c r="B282" s="19"/>
      <c r="C282" s="19"/>
      <c r="D282" s="9" t="s">
        <v>41</v>
      </c>
      <c r="E282" s="10"/>
      <c r="F282" s="10"/>
      <c r="G282" s="11" t="s">
        <v>169</v>
      </c>
      <c r="H282" s="12">
        <v>0.58333333333333337</v>
      </c>
      <c r="I282" s="12">
        <f>0</f>
        <v>0</v>
      </c>
      <c r="J282" s="10" t="s">
        <v>10</v>
      </c>
      <c r="K282" s="29">
        <f>IF(J282="FINALIZADA",1,IF(H282&lt;I282,0.99,I282/IF(H282=0,1,H282)))</f>
        <v>0</v>
      </c>
      <c r="L282" s="21"/>
      <c r="M282" s="19"/>
    </row>
    <row r="283" spans="2:13" hidden="1" x14ac:dyDescent="0.2">
      <c r="B283" s="19"/>
      <c r="C283" s="19"/>
      <c r="D283" s="19"/>
      <c r="E283" s="19"/>
      <c r="F283" s="30" t="s">
        <v>4</v>
      </c>
      <c r="G283" s="30" t="s">
        <v>5</v>
      </c>
      <c r="H283" s="31" t="s">
        <v>6</v>
      </c>
      <c r="I283" s="31" t="s">
        <v>32</v>
      </c>
      <c r="J283" s="19"/>
      <c r="K283" s="22"/>
      <c r="L283" s="21"/>
      <c r="M283" s="19"/>
    </row>
    <row r="284" spans="2:13" hidden="1" x14ac:dyDescent="0.2">
      <c r="B284" s="19"/>
      <c r="C284" s="19"/>
      <c r="D284" s="19"/>
      <c r="E284" s="19"/>
      <c r="F284" s="19" t="s">
        <v>33</v>
      </c>
      <c r="G284" s="19" t="s">
        <v>34</v>
      </c>
      <c r="H284" s="21" t="s">
        <v>35</v>
      </c>
      <c r="I284" s="21" t="s">
        <v>36</v>
      </c>
      <c r="J284" s="19"/>
      <c r="K284" s="22"/>
      <c r="L284" s="21"/>
      <c r="M284" s="19"/>
    </row>
    <row r="285" spans="2:13" x14ac:dyDescent="0.2">
      <c r="B285" s="6">
        <v>26771</v>
      </c>
      <c r="C285" s="1" t="s">
        <v>170</v>
      </c>
      <c r="D285" s="1" t="s">
        <v>23</v>
      </c>
      <c r="E285" s="1" t="s">
        <v>171</v>
      </c>
      <c r="F285" s="5">
        <v>42696</v>
      </c>
      <c r="G285" s="1" t="s">
        <v>172</v>
      </c>
      <c r="H285" s="23">
        <f>0+H286</f>
        <v>1.7499999999999998</v>
      </c>
      <c r="I285" s="23">
        <f>0+I286</f>
        <v>0.79166666666666674</v>
      </c>
      <c r="J285" s="1" t="s">
        <v>3</v>
      </c>
      <c r="K285" s="24">
        <f>(0+H286*K286)/IF(H285=0,1,H285)</f>
        <v>0.30952380952380959</v>
      </c>
      <c r="L285" s="25">
        <f>(1-K285)*H285</f>
        <v>1.2083333333333333</v>
      </c>
      <c r="M285" s="26"/>
    </row>
    <row r="286" spans="2:13" hidden="1" x14ac:dyDescent="0.2">
      <c r="B286" s="19"/>
      <c r="C286" s="8" t="s">
        <v>170</v>
      </c>
      <c r="D286" s="7"/>
      <c r="E286" s="7" t="s">
        <v>86</v>
      </c>
      <c r="F286" s="7"/>
      <c r="G286" s="7"/>
      <c r="H286" s="27">
        <f>0+H287+H290+H296+H299+H302+H305+H308</f>
        <v>1.7499999999999998</v>
      </c>
      <c r="I286" s="27">
        <f>0+I287+I290+I296+I299+I302+I305+I308</f>
        <v>0.79166666666666674</v>
      </c>
      <c r="J286" s="7" t="s">
        <v>11</v>
      </c>
      <c r="K286" s="28">
        <f>(0+H287*K287+H290*K290+H296*K296+H299*K299+H302*K302+H305*K305+H308*K308)/IF(H286=0,1,H286)</f>
        <v>0.30952380952380959</v>
      </c>
      <c r="L286" s="21"/>
      <c r="M286" s="19"/>
    </row>
    <row r="287" spans="2:13" hidden="1" x14ac:dyDescent="0.2">
      <c r="B287" s="19"/>
      <c r="C287" s="19"/>
      <c r="D287" s="9" t="s">
        <v>29</v>
      </c>
      <c r="E287" s="10"/>
      <c r="F287" s="10"/>
      <c r="G287" s="11" t="s">
        <v>173</v>
      </c>
      <c r="H287" s="12">
        <v>0.33333333333333331</v>
      </c>
      <c r="I287" s="12">
        <f>0+I289</f>
        <v>0.20833333333333334</v>
      </c>
      <c r="J287" s="10" t="s">
        <v>11</v>
      </c>
      <c r="K287" s="29">
        <f>IF(J287="FINALIZADA",1,IF(H287&lt;I287,0.99,I287/IF(H287=0,1,H287)))</f>
        <v>0.62500000000000011</v>
      </c>
      <c r="L287" s="21"/>
      <c r="M287" s="19"/>
    </row>
    <row r="288" spans="2:13" hidden="1" x14ac:dyDescent="0.2">
      <c r="B288" s="19"/>
      <c r="C288" s="19"/>
      <c r="D288" s="19"/>
      <c r="E288" s="19"/>
      <c r="F288" s="30" t="s">
        <v>4</v>
      </c>
      <c r="G288" s="30" t="s">
        <v>5</v>
      </c>
      <c r="H288" s="31" t="s">
        <v>6</v>
      </c>
      <c r="I288" s="31" t="s">
        <v>32</v>
      </c>
      <c r="J288" s="19"/>
      <c r="K288" s="22"/>
      <c r="L288" s="21"/>
      <c r="M288" s="19"/>
    </row>
    <row r="289" spans="2:13" hidden="1" x14ac:dyDescent="0.2">
      <c r="B289" s="19"/>
      <c r="C289" s="19"/>
      <c r="D289" s="19"/>
      <c r="E289" s="19"/>
      <c r="F289" s="20">
        <v>42695</v>
      </c>
      <c r="G289" s="19" t="s">
        <v>9</v>
      </c>
      <c r="H289" s="21" t="s">
        <v>8</v>
      </c>
      <c r="I289" s="21">
        <v>0.20833333333333334</v>
      </c>
      <c r="J289" s="19"/>
      <c r="K289" s="22"/>
      <c r="L289" s="21"/>
      <c r="M289" s="19"/>
    </row>
    <row r="290" spans="2:13" hidden="1" x14ac:dyDescent="0.2">
      <c r="B290" s="19"/>
      <c r="C290" s="19"/>
      <c r="D290" s="9" t="s">
        <v>41</v>
      </c>
      <c r="E290" s="10"/>
      <c r="F290" s="10"/>
      <c r="G290" s="11" t="s">
        <v>75</v>
      </c>
      <c r="H290" s="12">
        <v>0.33333333333333331</v>
      </c>
      <c r="I290" s="12">
        <f>0+I292+I293+I294+I295</f>
        <v>0.58333333333333337</v>
      </c>
      <c r="J290" s="10" t="s">
        <v>3</v>
      </c>
      <c r="K290" s="29">
        <f>IF(J290="FINALIZADA",1,IF(H290&lt;I290,0.99,I290/IF(H290=0,1,H290)))</f>
        <v>1</v>
      </c>
      <c r="L290" s="21"/>
      <c r="M290" s="19"/>
    </row>
    <row r="291" spans="2:13" hidden="1" x14ac:dyDescent="0.2">
      <c r="B291" s="19"/>
      <c r="C291" s="19"/>
      <c r="D291" s="19"/>
      <c r="E291" s="19"/>
      <c r="F291" s="30" t="s">
        <v>4</v>
      </c>
      <c r="G291" s="30" t="s">
        <v>5</v>
      </c>
      <c r="H291" s="31" t="s">
        <v>6</v>
      </c>
      <c r="I291" s="31" t="s">
        <v>32</v>
      </c>
      <c r="J291" s="19"/>
      <c r="K291" s="22"/>
      <c r="L291" s="21"/>
      <c r="M291" s="19"/>
    </row>
    <row r="292" spans="2:13" hidden="1" x14ac:dyDescent="0.2">
      <c r="B292" s="19"/>
      <c r="C292" s="19"/>
      <c r="D292" s="19"/>
      <c r="E292" s="19"/>
      <c r="F292" s="20">
        <v>42692</v>
      </c>
      <c r="G292" s="19" t="s">
        <v>15</v>
      </c>
      <c r="H292" s="21" t="s">
        <v>8</v>
      </c>
      <c r="I292" s="21">
        <v>0.20833333333333334</v>
      </c>
      <c r="J292" s="19"/>
      <c r="K292" s="22"/>
      <c r="L292" s="21"/>
      <c r="M292" s="19"/>
    </row>
    <row r="293" spans="2:13" hidden="1" x14ac:dyDescent="0.2">
      <c r="B293" s="19"/>
      <c r="C293" s="19"/>
      <c r="D293" s="19"/>
      <c r="E293" s="19"/>
      <c r="F293" s="20">
        <v>42695</v>
      </c>
      <c r="G293" s="19" t="s">
        <v>15</v>
      </c>
      <c r="H293" s="21" t="s">
        <v>8</v>
      </c>
      <c r="I293" s="21">
        <v>0.25</v>
      </c>
      <c r="J293" s="19"/>
      <c r="K293" s="22"/>
      <c r="L293" s="21"/>
      <c r="M293" s="19"/>
    </row>
    <row r="294" spans="2:13" hidden="1" x14ac:dyDescent="0.2">
      <c r="B294" s="19"/>
      <c r="C294" s="19"/>
      <c r="D294" s="19"/>
      <c r="E294" s="19"/>
      <c r="F294" s="20">
        <v>42695</v>
      </c>
      <c r="G294" s="19" t="s">
        <v>15</v>
      </c>
      <c r="H294" s="21" t="s">
        <v>8</v>
      </c>
      <c r="I294" s="21">
        <v>8.3333333333333329E-2</v>
      </c>
      <c r="J294" s="19"/>
      <c r="K294" s="22"/>
      <c r="L294" s="21"/>
      <c r="M294" s="19"/>
    </row>
    <row r="295" spans="2:13" hidden="1" x14ac:dyDescent="0.2">
      <c r="B295" s="19"/>
      <c r="C295" s="19"/>
      <c r="D295" s="19"/>
      <c r="E295" s="19"/>
      <c r="F295" s="20">
        <v>42696</v>
      </c>
      <c r="G295" s="19" t="s">
        <v>15</v>
      </c>
      <c r="H295" s="21" t="s">
        <v>8</v>
      </c>
      <c r="I295" s="21">
        <v>4.1666666666666664E-2</v>
      </c>
      <c r="J295" s="19"/>
      <c r="K295" s="22"/>
      <c r="L295" s="21"/>
      <c r="M295" s="19"/>
    </row>
    <row r="296" spans="2:13" hidden="1" x14ac:dyDescent="0.2">
      <c r="B296" s="19"/>
      <c r="C296" s="19"/>
      <c r="D296" s="9" t="s">
        <v>43</v>
      </c>
      <c r="E296" s="10"/>
      <c r="F296" s="10"/>
      <c r="G296" s="11" t="s">
        <v>174</v>
      </c>
      <c r="H296" s="12">
        <v>0.66666666666666663</v>
      </c>
      <c r="I296" s="12">
        <f>0</f>
        <v>0</v>
      </c>
      <c r="J296" s="10" t="s">
        <v>10</v>
      </c>
      <c r="K296" s="29">
        <f>IF(J296="FINALIZADA",1,IF(H296&lt;I296,0.99,I296/IF(H296=0,1,H296)))</f>
        <v>0</v>
      </c>
      <c r="L296" s="21"/>
      <c r="M296" s="19"/>
    </row>
    <row r="297" spans="2:13" hidden="1" x14ac:dyDescent="0.2">
      <c r="B297" s="19"/>
      <c r="C297" s="19"/>
      <c r="D297" s="19"/>
      <c r="E297" s="19"/>
      <c r="F297" s="30" t="s">
        <v>4</v>
      </c>
      <c r="G297" s="30" t="s">
        <v>5</v>
      </c>
      <c r="H297" s="31" t="s">
        <v>6</v>
      </c>
      <c r="I297" s="31" t="s">
        <v>32</v>
      </c>
      <c r="J297" s="19"/>
      <c r="K297" s="22"/>
      <c r="L297" s="21"/>
      <c r="M297" s="19"/>
    </row>
    <row r="298" spans="2:13" hidden="1" x14ac:dyDescent="0.2">
      <c r="B298" s="19"/>
      <c r="C298" s="19"/>
      <c r="D298" s="19"/>
      <c r="E298" s="19"/>
      <c r="F298" s="19" t="s">
        <v>33</v>
      </c>
      <c r="G298" s="19" t="s">
        <v>34</v>
      </c>
      <c r="H298" s="21" t="s">
        <v>35</v>
      </c>
      <c r="I298" s="21" t="s">
        <v>36</v>
      </c>
      <c r="J298" s="19"/>
      <c r="K298" s="22"/>
      <c r="L298" s="21"/>
      <c r="M298" s="19"/>
    </row>
    <row r="299" spans="2:13" hidden="1" x14ac:dyDescent="0.2">
      <c r="B299" s="19"/>
      <c r="C299" s="19"/>
      <c r="D299" s="9" t="s">
        <v>45</v>
      </c>
      <c r="E299" s="10"/>
      <c r="F299" s="10"/>
      <c r="G299" s="11" t="s">
        <v>158</v>
      </c>
      <c r="H299" s="12">
        <v>8.3333333333333329E-2</v>
      </c>
      <c r="I299" s="12">
        <f>0</f>
        <v>0</v>
      </c>
      <c r="J299" s="10" t="s">
        <v>10</v>
      </c>
      <c r="K299" s="29">
        <f>IF(J299="FINALIZADA",1,IF(H299&lt;I299,0.99,I299/IF(H299=0,1,H299)))</f>
        <v>0</v>
      </c>
      <c r="L299" s="21"/>
      <c r="M299" s="19"/>
    </row>
    <row r="300" spans="2:13" hidden="1" x14ac:dyDescent="0.2">
      <c r="B300" s="19"/>
      <c r="C300" s="19"/>
      <c r="D300" s="19"/>
      <c r="E300" s="19"/>
      <c r="F300" s="30" t="s">
        <v>4</v>
      </c>
      <c r="G300" s="30" t="s">
        <v>5</v>
      </c>
      <c r="H300" s="31" t="s">
        <v>6</v>
      </c>
      <c r="I300" s="31" t="s">
        <v>32</v>
      </c>
      <c r="J300" s="19"/>
      <c r="K300" s="22"/>
      <c r="L300" s="21"/>
      <c r="M300" s="19"/>
    </row>
    <row r="301" spans="2:13" hidden="1" x14ac:dyDescent="0.2">
      <c r="B301" s="19"/>
      <c r="C301" s="19"/>
      <c r="D301" s="19"/>
      <c r="E301" s="19"/>
      <c r="F301" s="19" t="s">
        <v>33</v>
      </c>
      <c r="G301" s="19" t="s">
        <v>34</v>
      </c>
      <c r="H301" s="21" t="s">
        <v>35</v>
      </c>
      <c r="I301" s="21" t="s">
        <v>36</v>
      </c>
      <c r="J301" s="19"/>
      <c r="K301" s="22"/>
      <c r="L301" s="21"/>
      <c r="M301" s="19"/>
    </row>
    <row r="302" spans="2:13" hidden="1" x14ac:dyDescent="0.2">
      <c r="B302" s="19"/>
      <c r="C302" s="19"/>
      <c r="D302" s="9" t="s">
        <v>62</v>
      </c>
      <c r="E302" s="10"/>
      <c r="F302" s="10"/>
      <c r="G302" s="11" t="s">
        <v>175</v>
      </c>
      <c r="H302" s="12">
        <v>0.16666666666666666</v>
      </c>
      <c r="I302" s="12">
        <f>0</f>
        <v>0</v>
      </c>
      <c r="J302" s="10" t="s">
        <v>10</v>
      </c>
      <c r="K302" s="29">
        <f>IF(J302="FINALIZADA",1,IF(H302&lt;I302,0.99,I302/IF(H302=0,1,H302)))</f>
        <v>0</v>
      </c>
      <c r="L302" s="21"/>
      <c r="M302" s="19"/>
    </row>
    <row r="303" spans="2:13" hidden="1" x14ac:dyDescent="0.2">
      <c r="B303" s="19"/>
      <c r="C303" s="19"/>
      <c r="D303" s="19"/>
      <c r="E303" s="19"/>
      <c r="F303" s="30" t="s">
        <v>4</v>
      </c>
      <c r="G303" s="30" t="s">
        <v>5</v>
      </c>
      <c r="H303" s="31" t="s">
        <v>6</v>
      </c>
      <c r="I303" s="31" t="s">
        <v>32</v>
      </c>
      <c r="J303" s="19"/>
      <c r="K303" s="22"/>
      <c r="L303" s="21"/>
      <c r="M303" s="19"/>
    </row>
    <row r="304" spans="2:13" hidden="1" x14ac:dyDescent="0.2">
      <c r="B304" s="19"/>
      <c r="C304" s="19"/>
      <c r="D304" s="19"/>
      <c r="E304" s="19"/>
      <c r="F304" s="19" t="s">
        <v>33</v>
      </c>
      <c r="G304" s="19" t="s">
        <v>34</v>
      </c>
      <c r="H304" s="21" t="s">
        <v>35</v>
      </c>
      <c r="I304" s="21" t="s">
        <v>36</v>
      </c>
      <c r="J304" s="19"/>
      <c r="K304" s="22"/>
      <c r="L304" s="21"/>
      <c r="M304" s="19"/>
    </row>
    <row r="305" spans="2:13" hidden="1" x14ac:dyDescent="0.2">
      <c r="B305" s="19"/>
      <c r="C305" s="19"/>
      <c r="D305" s="9" t="s">
        <v>121</v>
      </c>
      <c r="E305" s="10"/>
      <c r="F305" s="10"/>
      <c r="G305" s="11" t="s">
        <v>176</v>
      </c>
      <c r="H305" s="12">
        <v>8.3333333333333329E-2</v>
      </c>
      <c r="I305" s="12">
        <f>0</f>
        <v>0</v>
      </c>
      <c r="J305" s="10" t="s">
        <v>10</v>
      </c>
      <c r="K305" s="29">
        <f>IF(J305="FINALIZADA",1,IF(H305&lt;I305,0.99,I305/IF(H305=0,1,H305)))</f>
        <v>0</v>
      </c>
      <c r="L305" s="21"/>
      <c r="M305" s="19"/>
    </row>
    <row r="306" spans="2:13" hidden="1" x14ac:dyDescent="0.2">
      <c r="B306" s="19"/>
      <c r="C306" s="19"/>
      <c r="D306" s="19"/>
      <c r="E306" s="19"/>
      <c r="F306" s="30" t="s">
        <v>4</v>
      </c>
      <c r="G306" s="30" t="s">
        <v>5</v>
      </c>
      <c r="H306" s="31" t="s">
        <v>6</v>
      </c>
      <c r="I306" s="31" t="s">
        <v>32</v>
      </c>
      <c r="J306" s="19"/>
      <c r="K306" s="22"/>
      <c r="L306" s="21"/>
      <c r="M306" s="19"/>
    </row>
    <row r="307" spans="2:13" hidden="1" x14ac:dyDescent="0.2">
      <c r="B307" s="19"/>
      <c r="C307" s="19"/>
      <c r="D307" s="19"/>
      <c r="E307" s="19"/>
      <c r="F307" s="19" t="s">
        <v>33</v>
      </c>
      <c r="G307" s="19" t="s">
        <v>34</v>
      </c>
      <c r="H307" s="21" t="s">
        <v>35</v>
      </c>
      <c r="I307" s="21" t="s">
        <v>36</v>
      </c>
      <c r="J307" s="19"/>
      <c r="K307" s="22"/>
      <c r="L307" s="21"/>
      <c r="M307" s="19"/>
    </row>
    <row r="308" spans="2:13" hidden="1" x14ac:dyDescent="0.2">
      <c r="B308" s="19"/>
      <c r="C308" s="19"/>
      <c r="D308" s="9" t="s">
        <v>123</v>
      </c>
      <c r="E308" s="10"/>
      <c r="F308" s="10"/>
      <c r="G308" s="11" t="s">
        <v>177</v>
      </c>
      <c r="H308" s="12">
        <v>8.3333333333333329E-2</v>
      </c>
      <c r="I308" s="12">
        <f>0</f>
        <v>0</v>
      </c>
      <c r="J308" s="10" t="s">
        <v>10</v>
      </c>
      <c r="K308" s="29">
        <f>IF(J308="FINALIZADA",1,IF(H308&lt;I308,0.99,I308/IF(H308=0,1,H308)))</f>
        <v>0</v>
      </c>
      <c r="L308" s="21"/>
      <c r="M308" s="19"/>
    </row>
    <row r="309" spans="2:13" hidden="1" x14ac:dyDescent="0.2">
      <c r="B309" s="19"/>
      <c r="C309" s="19"/>
      <c r="D309" s="19"/>
      <c r="E309" s="19"/>
      <c r="F309" s="30" t="s">
        <v>4</v>
      </c>
      <c r="G309" s="30" t="s">
        <v>5</v>
      </c>
      <c r="H309" s="31" t="s">
        <v>6</v>
      </c>
      <c r="I309" s="31" t="s">
        <v>32</v>
      </c>
      <c r="J309" s="19"/>
      <c r="K309" s="22"/>
      <c r="L309" s="21"/>
      <c r="M309" s="19"/>
    </row>
    <row r="310" spans="2:13" hidden="1" x14ac:dyDescent="0.2">
      <c r="B310" s="19"/>
      <c r="C310" s="19"/>
      <c r="D310" s="19"/>
      <c r="E310" s="19"/>
      <c r="F310" s="19" t="s">
        <v>33</v>
      </c>
      <c r="G310" s="19" t="s">
        <v>34</v>
      </c>
      <c r="H310" s="21" t="s">
        <v>35</v>
      </c>
      <c r="I310" s="21" t="s">
        <v>36</v>
      </c>
      <c r="J310" s="19"/>
      <c r="K310" s="22"/>
      <c r="L310" s="21"/>
      <c r="M310" s="19"/>
    </row>
  </sheetData>
  <conditionalFormatting sqref="K1:K1048576"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{19BCD15A-13F9-46C5-A3A6-4AE60336BE25}</x14:id>
        </ext>
      </extLst>
    </cfRule>
  </conditionalFormatting>
  <conditionalFormatting sqref="M1:M1048576">
    <cfRule type="expression" dxfId="1" priority="2">
      <formula>AND($M1&lt;TODAY()+$L1*3+7,NOT($J1="Facturada Total"),NOT($J1="Despachada Total"),NOT($J1="En espera de Confirmación"),IFERROR(SEARCH("OT:",B1,1),FALSE()))</formula>
    </cfRule>
    <cfRule type="expression" dxfId="0" priority="1">
      <formula>AND($M1&lt;TODAY()+$L1*3+0,NOT($J1="Facturada Total"),NOT($J1="Despachada Total"),NOT($J1="En espera de Confirmación"),IFERROR(SEARCH("OT:",B1,1),FALSE()))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6" r:id="rId4" name="Button 12">
              <controlPr defaultSize="0" print="0" autoFill="0" autoPict="0" macro="[0]!configurar_hoja">
                <anchor moveWithCells="1">
                  <from>
                    <xdr:col>13</xdr:col>
                    <xdr:colOff>19050</xdr:colOff>
                    <xdr:row>0</xdr:row>
                    <xdr:rowOff>28575</xdr:rowOff>
                  </from>
                  <to>
                    <xdr:col>14</xdr:col>
                    <xdr:colOff>209550</xdr:colOff>
                    <xdr:row>0</xdr:row>
                    <xdr:rowOff>266700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9BCD15A-13F9-46C5-A3A6-4AE60336BE2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K1:K1048576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Claudio Alvarez Rivera</dc:creator>
  <cp:lastModifiedBy>Gabriel Medina Aguilera</cp:lastModifiedBy>
  <dcterms:created xsi:type="dcterms:W3CDTF">2016-11-08T12:24:35Z</dcterms:created>
  <dcterms:modified xsi:type="dcterms:W3CDTF">2016-11-22T19:02:59Z</dcterms:modified>
</cp:coreProperties>
</file>