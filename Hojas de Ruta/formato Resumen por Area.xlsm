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medina\Documents\GitHub\Repositorio-Git\MD-PlanificacionProduccion\Hojas de Ruta\"/>
    </mc:Choice>
  </mc:AlternateContent>
  <bookViews>
    <workbookView xWindow="0" yWindow="0" windowWidth="24000" windowHeight="988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0" i="1" l="1"/>
  <c r="H190" i="1"/>
  <c r="H189" i="1" s="1"/>
  <c r="K200" i="1"/>
  <c r="I197" i="1"/>
  <c r="K197" i="1"/>
  <c r="I194" i="1"/>
  <c r="K194" i="1" s="1"/>
  <c r="I191" i="1"/>
  <c r="I186" i="1"/>
  <c r="H179" i="1"/>
  <c r="H178" i="1" s="1"/>
  <c r="K179" i="1"/>
  <c r="K186" i="1"/>
  <c r="I183" i="1"/>
  <c r="K183" i="1"/>
  <c r="I180" i="1"/>
  <c r="I179" i="1" s="1"/>
  <c r="I178" i="1" s="1"/>
  <c r="I175" i="1"/>
  <c r="H166" i="1"/>
  <c r="K166" i="1"/>
  <c r="I170" i="1"/>
  <c r="I167" i="1"/>
  <c r="I166" i="1" s="1"/>
  <c r="I165" i="1" s="1"/>
  <c r="H165" i="1"/>
  <c r="I162" i="1"/>
  <c r="H152" i="1"/>
  <c r="H151" i="1" s="1"/>
  <c r="K152" i="1"/>
  <c r="I159" i="1"/>
  <c r="I156" i="1"/>
  <c r="I153" i="1"/>
  <c r="I152" i="1" s="1"/>
  <c r="I151" i="1" s="1"/>
  <c r="I148" i="1"/>
  <c r="I132" i="1"/>
  <c r="H132" i="1"/>
  <c r="K148" i="1"/>
  <c r="I145" i="1"/>
  <c r="K145" i="1"/>
  <c r="I142" i="1"/>
  <c r="K142" i="1"/>
  <c r="I139" i="1"/>
  <c r="K139" i="1"/>
  <c r="I136" i="1"/>
  <c r="K136" i="1"/>
  <c r="I133" i="1"/>
  <c r="K133" i="1"/>
  <c r="K132" i="1" s="1"/>
  <c r="H115" i="1"/>
  <c r="I128" i="1"/>
  <c r="H116" i="1"/>
  <c r="K116" i="1"/>
  <c r="I121" i="1"/>
  <c r="I117" i="1"/>
  <c r="I116" i="1" s="1"/>
  <c r="I115" i="1" s="1"/>
  <c r="I112" i="1"/>
  <c r="H101" i="1"/>
  <c r="K101" i="1"/>
  <c r="I109" i="1"/>
  <c r="I106" i="1"/>
  <c r="I102" i="1"/>
  <c r="I101" i="1" s="1"/>
  <c r="I100" i="1" s="1"/>
  <c r="H100" i="1"/>
  <c r="I97" i="1"/>
  <c r="H89" i="1"/>
  <c r="K89" i="1"/>
  <c r="I94" i="1"/>
  <c r="I90" i="1"/>
  <c r="I89" i="1" s="1"/>
  <c r="H88" i="1"/>
  <c r="I85" i="1"/>
  <c r="H71" i="1"/>
  <c r="H70" i="1" s="1"/>
  <c r="K71" i="1"/>
  <c r="I82" i="1"/>
  <c r="I78" i="1"/>
  <c r="I75" i="1"/>
  <c r="I71" i="1" s="1"/>
  <c r="I70" i="1" s="1"/>
  <c r="I72" i="1"/>
  <c r="I67" i="1"/>
  <c r="H56" i="1"/>
  <c r="K56" i="1"/>
  <c r="I64" i="1"/>
  <c r="I60" i="1"/>
  <c r="I56" i="1" s="1"/>
  <c r="I57" i="1"/>
  <c r="H55" i="1"/>
  <c r="I52" i="1"/>
  <c r="H33" i="1"/>
  <c r="K52" i="1"/>
  <c r="I49" i="1"/>
  <c r="K49" i="1"/>
  <c r="I46" i="1"/>
  <c r="K46" i="1"/>
  <c r="I43" i="1"/>
  <c r="K43" i="1"/>
  <c r="I40" i="1"/>
  <c r="K40" i="1"/>
  <c r="I37" i="1"/>
  <c r="K37" i="1"/>
  <c r="I34" i="1"/>
  <c r="I33" i="1" s="1"/>
  <c r="K34" i="1"/>
  <c r="H12" i="1"/>
  <c r="I30" i="1"/>
  <c r="I23" i="1"/>
  <c r="H23" i="1"/>
  <c r="K30" i="1"/>
  <c r="I27" i="1"/>
  <c r="K27" i="1"/>
  <c r="I24" i="1"/>
  <c r="K24" i="1"/>
  <c r="I20" i="1"/>
  <c r="I13" i="1"/>
  <c r="I12" i="1" s="1"/>
  <c r="H13" i="1"/>
  <c r="K20" i="1"/>
  <c r="I17" i="1"/>
  <c r="K17" i="1"/>
  <c r="I14" i="1"/>
  <c r="K14" i="1"/>
  <c r="K13" i="1" s="1"/>
  <c r="I7" i="1"/>
  <c r="H3" i="1"/>
  <c r="K3" i="1"/>
  <c r="K2" i="1" s="1"/>
  <c r="L2" i="1" s="1"/>
  <c r="I4" i="1"/>
  <c r="I3" i="1" s="1"/>
  <c r="I2" i="1" s="1"/>
  <c r="H2" i="1"/>
  <c r="K33" i="1" l="1"/>
  <c r="I190" i="1"/>
  <c r="I189" i="1" s="1"/>
  <c r="K190" i="1"/>
  <c r="K189" i="1" s="1"/>
  <c r="L189" i="1" s="1"/>
  <c r="K178" i="1"/>
  <c r="L178" i="1" s="1"/>
  <c r="K165" i="1"/>
  <c r="L165" i="1" s="1"/>
  <c r="K151" i="1"/>
  <c r="L151" i="1" s="1"/>
  <c r="K115" i="1"/>
  <c r="L115" i="1" s="1"/>
  <c r="K100" i="1"/>
  <c r="L100" i="1" s="1"/>
  <c r="K88" i="1"/>
  <c r="L88" i="1" s="1"/>
  <c r="I88" i="1"/>
  <c r="K70" i="1"/>
  <c r="L70" i="1" s="1"/>
  <c r="K55" i="1"/>
  <c r="L55" i="1" s="1"/>
  <c r="I55" i="1"/>
  <c r="K23" i="1"/>
  <c r="K12" i="1" s="1"/>
  <c r="L12" i="1" l="1"/>
</calcChain>
</file>

<file path=xl/comments1.xml><?xml version="1.0" encoding="utf-8"?>
<comments xmlns="http://schemas.openxmlformats.org/spreadsheetml/2006/main">
  <authors>
    <author>Gabriel Medina Aguilera</author>
  </authors>
  <commentList>
    <comment ref="J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Estado ot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trae datos de tarea en proceso, solo si es que hubiera, de lo contrario no traer nada.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ultima hoja de ruta en proceso, del mismo item en columna D</t>
        </r>
      </text>
    </comment>
    <comment ref="D1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Ultimo item regostrado (según fecha de movimiento)</t>
        </r>
      </text>
    </comment>
    <comment ref="F1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ultima fecha Registrada </t>
        </r>
      </text>
    </comment>
    <comment ref="G1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detalle de tarea en proceso, la ultima registrada</t>
        </r>
      </text>
    </comment>
    <comment ref="L12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calculo de horas faltantes para terminar el trabajo (horas lineales)</t>
        </r>
      </text>
    </comment>
    <comment ref="J13" authorId="0" shapeId="0">
      <text>
        <r>
          <rPr>
            <b/>
            <sz val="9"/>
            <color indexed="81"/>
            <rFont val="Tahoma"/>
            <family val="2"/>
          </rPr>
          <t>Gabriel Medina Aguilera:</t>
        </r>
        <r>
          <rPr>
            <sz val="9"/>
            <color indexed="81"/>
            <rFont val="Tahoma"/>
            <family val="2"/>
          </rPr>
          <t xml:space="preserve">
estado según tareas</t>
        </r>
      </text>
    </comment>
  </commentList>
</comments>
</file>

<file path=xl/sharedStrings.xml><?xml version="1.0" encoding="utf-8"?>
<sst xmlns="http://schemas.openxmlformats.org/spreadsheetml/2006/main" count="594" uniqueCount="113">
  <si>
    <t>OT: 26104</t>
  </si>
  <si>
    <t>HORAS ESTIMADAS</t>
  </si>
  <si>
    <t>HORAS REALES</t>
  </si>
  <si>
    <t>ESTADO ACTUAL</t>
  </si>
  <si>
    <t xml:space="preserve">[TRA] LIMPIEZA MECANICA - LAVADO Y PREPARACIONDE PARTES </t>
  </si>
  <si>
    <t>FINALIZADA</t>
  </si>
  <si>
    <t>FECHA MOVIMIENTO</t>
  </si>
  <si>
    <t>MECÁNICO</t>
  </si>
  <si>
    <t>TIPO CARGO</t>
  </si>
  <si>
    <t>TIEMPO DECLARADO</t>
  </si>
  <si>
    <t>PÉREZ MANSILLA ROBINSON</t>
  </si>
  <si>
    <t>DIURNA</t>
  </si>
  <si>
    <t>[TRA] ARMADO - ARMADO Y AJUSTE DE CAJA DE TRA</t>
  </si>
  <si>
    <t>JARA GUERRERO MARIO</t>
  </si>
  <si>
    <t>OT: 26617</t>
  </si>
  <si>
    <t>[TOR] FABRICACIÓN DE CAMISA - MECANIZAR PISTA DE SELLO</t>
  </si>
  <si>
    <t>EN ESPERA</t>
  </si>
  <si>
    <t>#</t>
  </si>
  <si>
    <t>NO TIENE HORAS CARGADAS</t>
  </si>
  <si>
    <t>[TOR] FABRICACIÓN DE CAMISA - FABRICAR CAMISA 25.35MM 4340</t>
  </si>
  <si>
    <t>[TOR] FABRICACIÓN DE CAMISA - MECANIZAR MEDIDA FINAL 25.35 +</t>
  </si>
  <si>
    <t>[TOR] MECANIZAR DIAMETRO INTERIOR - MECANIZAR PISTA DE RODAMIENTO</t>
  </si>
  <si>
    <t>[TOR] FABRICACIÓN DE CAMISA - FABRICAR CAMISA 100 +0.02  MAT</t>
  </si>
  <si>
    <t>[TOR] FABRICACIÓN DE CAMISA - MECANIZAR A MEDIDA FINAL 100+0</t>
  </si>
  <si>
    <t>[TRA] ARMADO - PREPARACION DE PARTES</t>
  </si>
  <si>
    <t>EN PROCESO</t>
  </si>
  <si>
    <t>CUBILLOS AGUILA CARLOS</t>
  </si>
  <si>
    <t>[TRA] ARMADO - ARMAR</t>
  </si>
  <si>
    <t>[TRA] PRUEBA EN BANCO - MONTAJE Y LLENADO DE ACEITE</t>
  </si>
  <si>
    <t>[TRA] PRUEBA EN BANCO - PRUEBA DE FUNCIONAMIENTO</t>
  </si>
  <si>
    <t>[TRA] PRUEBA EN BANCO - DRENAJE ACEITE, DESMONTAJE E I</t>
  </si>
  <si>
    <t>[TRA] ARMADO - PINTURA Y EMBALAJE</t>
  </si>
  <si>
    <t>OT: 26649</t>
  </si>
  <si>
    <t>[TRA] LIMPIEZA MECANICA - LAVADO DE EJE DIFERECIAL</t>
  </si>
  <si>
    <t>[TRA] DESARME - DESARME Y EVALUACION DE PIEZAS</t>
  </si>
  <si>
    <t>PÉREZ MUÑOZ RODRIGO</t>
  </si>
  <si>
    <t>[TRA] INFORME TÉCNICO - CONFECCION DE INFORME TECNICO</t>
  </si>
  <si>
    <t>[TRA] DESARME - ALMACENAMIENTO DE PARTES</t>
  </si>
  <si>
    <t>OT: 26659</t>
  </si>
  <si>
    <t>[TRA] LIMPIEZA MECANICA - LIMPIEZA EXTERIOR</t>
  </si>
  <si>
    <t>[TRA] AJUSTAR TRANSMISIÓN - DRENAJE ACEITE</t>
  </si>
  <si>
    <t>[TRA] DESARME - DESARME, LIMPIEZA Y EVALUACION</t>
  </si>
  <si>
    <t>[TRA] INFORME TÉCNICO - GENERAR INFORME TÉCNICO</t>
  </si>
  <si>
    <t>[TRA] DESARME - ALMACENAJE DE PIEZAS</t>
  </si>
  <si>
    <t>OT: 26678</t>
  </si>
  <si>
    <t>[TRA] PRUEBA EN BANCO - PRUEBA EN BANCO DE TRANSMISION</t>
  </si>
  <si>
    <t>RIQUELME NORAMBUENA RODRIGO</t>
  </si>
  <si>
    <t>[TRA] PRUEBA EN BANCO - INFORME TECNICO TRANSMISION HR</t>
  </si>
  <si>
    <t>[TRA] DESARME - DESARME CUERPO DE VALVULAS</t>
  </si>
  <si>
    <t>OT: 26686</t>
  </si>
  <si>
    <t xml:space="preserve">[TRA] PRUEBA EN BANCO - MONTAJE EN BANCO Y LLENADO DE </t>
  </si>
  <si>
    <t>EXTRA GENERAL</t>
  </si>
  <si>
    <t>[TRA] PRUEBA EN BANCO - PRUEBA EN BANCO</t>
  </si>
  <si>
    <t>[TRA] PRUEBA EN BANCO - VACIADO DE ACEITE Y DESMONTAJE</t>
  </si>
  <si>
    <t>[TRA] INFORME TÉCNICO - INFORME TÉCNICO DE PRUEBAS</t>
  </si>
  <si>
    <t>OT: 26701</t>
  </si>
  <si>
    <t>[TRA] DESARME - DESARME Y EVALUACION DE TRANSM</t>
  </si>
  <si>
    <t>ACEVEDO VALENZUELA CARLOS</t>
  </si>
  <si>
    <t>[TRA] DESARME - ALMACENAJE DE PARTES Y PIEZAS</t>
  </si>
  <si>
    <t>[TRA] LIMPIEZA MECANICA - REVISAR REPUESTOS Y PREPARAR P</t>
  </si>
  <si>
    <t>[TRA] ARMADO - ARMAR TRANSMISION</t>
  </si>
  <si>
    <t>[TRA] PRUEBA EN BANCO - DESMONTAJE E INFORME TÉCNICO</t>
  </si>
  <si>
    <t>OT: 26714</t>
  </si>
  <si>
    <t>[TRA] DESARME - DESARME ACOPLE FLEXIBLE</t>
  </si>
  <si>
    <t>[TRA] CONTROL DIMENSIONAL - EVALUACIÓN Y LIMPIEZA DE PIEZA</t>
  </si>
  <si>
    <t>[TRA] DESARME - ALMACENAJE DE PARTES</t>
  </si>
  <si>
    <t>OT: 26746</t>
  </si>
  <si>
    <t>[TRA] LIMPIEZA MECANICA - LIMPIEZA DE TRANSMISION</t>
  </si>
  <si>
    <t>[TRA] DESARME - DESARME Y EVALUACION</t>
  </si>
  <si>
    <t xml:space="preserve">[TRA] INFORME TÉCNICO - INFORME TÉCNICO Y EMBALAJE DE </t>
  </si>
  <si>
    <t>OT: 26760</t>
  </si>
  <si>
    <t>[TRA] DESARME - DESARME DE TRANFERENCIA</t>
  </si>
  <si>
    <t>[TRA] INFORME TÉCNICO - EVALUACION E INFORME TÉCNICO</t>
  </si>
  <si>
    <t>OT: 26766</t>
  </si>
  <si>
    <t>26766 / 1</t>
  </si>
  <si>
    <t>[TRA] DESARME - DESARME Y EVALUACION DE EJE</t>
  </si>
  <si>
    <t>[TRA] INFORME TÉCNICO - DESARROLLO DE INFORME TECNICO</t>
  </si>
  <si>
    <t>HOJA DE RUTA</t>
  </si>
  <si>
    <t>HR: 26104 / 1</t>
  </si>
  <si>
    <t>HR: 26617 / 1</t>
  </si>
  <si>
    <t>HR: 26617 / 2</t>
  </si>
  <si>
    <t>HR: 26617 / 3</t>
  </si>
  <si>
    <t>ITEM</t>
  </si>
  <si>
    <t>ITEM: 1</t>
  </si>
  <si>
    <t>ITEM: 2</t>
  </si>
  <si>
    <t>OT</t>
  </si>
  <si>
    <t>DETALLE TAREA</t>
  </si>
  <si>
    <t>ITEM: 3</t>
  </si>
  <si>
    <t>ITEM: 4</t>
  </si>
  <si>
    <t>ITEM: 5</t>
  </si>
  <si>
    <t>ITEM: 6</t>
  </si>
  <si>
    <t>ITEM: 7</t>
  </si>
  <si>
    <t>Facturada Total</t>
  </si>
  <si>
    <t>En Proceso</t>
  </si>
  <si>
    <t>% AVANCE</t>
  </si>
  <si>
    <t>En espera de Confirmación</t>
  </si>
  <si>
    <t>En Evaluacion</t>
  </si>
  <si>
    <t>En Presupuesto</t>
  </si>
  <si>
    <t>HR: 26649 / 1</t>
  </si>
  <si>
    <t>HR: 26766 / 1</t>
  </si>
  <si>
    <t>HR: 26760 / 1</t>
  </si>
  <si>
    <t>HR: 26701 / 2</t>
  </si>
  <si>
    <t>HR: 26701 / 1</t>
  </si>
  <si>
    <t>HR: 26659 / 1</t>
  </si>
  <si>
    <t>HR: 26678 / 1</t>
  </si>
  <si>
    <t>HR: 26686 / 1</t>
  </si>
  <si>
    <t>HR: 26714 / 1</t>
  </si>
  <si>
    <t>HR: 26746 / 1</t>
  </si>
  <si>
    <t>COMPONENTE / ELEMENTO</t>
  </si>
  <si>
    <t>ELEMENTO</t>
  </si>
  <si>
    <t>DETALLE OT</t>
  </si>
  <si>
    <t>FECHA ENTREGA</t>
  </si>
  <si>
    <t>HORAS RESTANTES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</si>
</sst>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h]:mm"/>
    <numFmt numFmtId="165" formatCode="&quot;TAREA: &quot;@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1" fillId="0" borderId="0" xfId="0" applyFont="1" applyBorder="1"/>
    <xf numFmtId="0" fontId="4" fillId="0" borderId="0" xfId="0" applyFont="1" applyBorder="1"/>
    <xf numFmtId="14" fontId="1" fillId="0" borderId="0" xfId="0" applyNumberFormat="1" applyFont="1" applyBorder="1"/>
    <xf numFmtId="164" fontId="3" fillId="2" borderId="1" xfId="0" applyNumberFormat="1" applyFont="1" applyFill="1" applyBorder="1"/>
    <xf numFmtId="164" fontId="4" fillId="0" borderId="0" xfId="0" applyNumberFormat="1" applyFont="1" applyBorder="1"/>
    <xf numFmtId="164" fontId="1" fillId="0" borderId="0" xfId="0" applyNumberFormat="1" applyFont="1" applyBorder="1"/>
    <xf numFmtId="14" fontId="3" fillId="2" borderId="1" xfId="0" applyNumberFormat="1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164" fontId="3" fillId="2" borderId="4" xfId="0" applyNumberFormat="1" applyFont="1" applyFill="1" applyBorder="1"/>
    <xf numFmtId="14" fontId="3" fillId="2" borderId="5" xfId="0" applyNumberFormat="1" applyFont="1" applyFill="1" applyBorder="1"/>
    <xf numFmtId="0" fontId="4" fillId="5" borderId="1" xfId="0" applyFont="1" applyFill="1" applyBorder="1" applyAlignment="1">
      <alignment vertical="center"/>
    </xf>
    <xf numFmtId="164" fontId="4" fillId="5" borderId="1" xfId="0" applyNumberFormat="1" applyFont="1" applyFill="1" applyBorder="1"/>
    <xf numFmtId="0" fontId="4" fillId="5" borderId="1" xfId="0" applyFont="1" applyFill="1" applyBorder="1"/>
    <xf numFmtId="0" fontId="4" fillId="5" borderId="3" xfId="0" applyFont="1" applyFill="1" applyBorder="1" applyAlignment="1">
      <alignment vertical="center"/>
    </xf>
    <xf numFmtId="14" fontId="4" fillId="5" borderId="1" xfId="0" applyNumberFormat="1" applyFont="1" applyFill="1" applyBorder="1" applyAlignment="1">
      <alignment vertical="center"/>
    </xf>
    <xf numFmtId="0" fontId="4" fillId="6" borderId="3" xfId="0" applyFont="1" applyFill="1" applyBorder="1" applyAlignment="1">
      <alignment vertical="center"/>
    </xf>
    <xf numFmtId="0" fontId="4" fillId="6" borderId="4" xfId="0" applyFont="1" applyFill="1" applyBorder="1" applyAlignment="1">
      <alignment vertical="center"/>
    </xf>
    <xf numFmtId="165" fontId="4" fillId="6" borderId="4" xfId="0" applyNumberFormat="1" applyFont="1" applyFill="1" applyBorder="1" applyAlignment="1">
      <alignment vertical="center"/>
    </xf>
    <xf numFmtId="164" fontId="4" fillId="6" borderId="4" xfId="0" applyNumberFormat="1" applyFont="1" applyFill="1" applyBorder="1" applyAlignment="1">
      <alignment vertical="center"/>
    </xf>
    <xf numFmtId="0" fontId="3" fillId="3" borderId="0" xfId="0" applyFont="1" applyFill="1" applyBorder="1" applyAlignment="1">
      <alignment horizontal="center" vertical="center" wrapText="1"/>
    </xf>
    <xf numFmtId="164" fontId="3" fillId="3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/>
    <xf numFmtId="0" fontId="1" fillId="4" borderId="0" xfId="0" applyFont="1" applyFill="1" applyBorder="1"/>
    <xf numFmtId="10" fontId="3" fillId="2" borderId="1" xfId="0" applyNumberFormat="1" applyFont="1" applyFill="1" applyBorder="1"/>
    <xf numFmtId="10" fontId="3" fillId="3" borderId="0" xfId="0" applyNumberFormat="1" applyFont="1" applyFill="1" applyBorder="1" applyAlignment="1">
      <alignment horizontal="center" vertical="center" wrapText="1"/>
    </xf>
    <xf numFmtId="10" fontId="4" fillId="5" borderId="2" xfId="0" applyNumberFormat="1" applyFont="1" applyFill="1" applyBorder="1"/>
    <xf numFmtId="10" fontId="4" fillId="6" borderId="5" xfId="1" applyNumberFormat="1" applyFont="1" applyFill="1" applyBorder="1" applyAlignment="1">
      <alignment vertical="center"/>
    </xf>
    <xf numFmtId="10" fontId="1" fillId="0" borderId="0" xfId="0" applyNumberFormat="1" applyFont="1" applyBorder="1"/>
    <xf numFmtId="10" fontId="4" fillId="0" borderId="0" xfId="0" applyNumberFormat="1" applyFont="1" applyBorder="1"/>
  </cellXfs>
  <cellStyles count="2">
    <cellStyle name="Normal" xfId="0" builtinId="0"/>
    <cellStyle name="Porcentaje" xfId="1" builtinId="5"/>
  </cellStyles>
  <dxfs count="91"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28575</xdr:rowOff>
        </xdr:from>
        <xdr:to>
          <xdr:col>14</xdr:col>
          <xdr:colOff>209550</xdr:colOff>
          <xdr:row>0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Configura Hoja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N202"/>
  <sheetViews>
    <sheetView tabSelected="1" zoomScaleNormal="100" workbookViewId="0">
      <pane ySplit="1" topLeftCell="A2" activePane="bottomLeft" state="frozen"/>
      <selection pane="bottomLeft" activeCell="G189" sqref="G189"/>
    </sheetView>
  </sheetViews>
  <sheetFormatPr baseColWidth="10" defaultRowHeight="11.25" x14ac:dyDescent="0.2"/>
  <cols>
    <col min="1" max="1" width="3.140625" style="3" customWidth="1"/>
    <col min="2" max="2" width="7.7109375" style="3" bestFit="1" customWidth="1"/>
    <col min="3" max="3" width="11" style="3" bestFit="1" customWidth="1"/>
    <col min="4" max="4" width="6" style="3" bestFit="1" customWidth="1"/>
    <col min="5" max="5" width="11.7109375" style="3" customWidth="1"/>
    <col min="6" max="6" width="14.7109375" style="3" bestFit="1" customWidth="1"/>
    <col min="7" max="7" width="56.42578125" style="3" customWidth="1"/>
    <col min="8" max="8" width="13" style="8" bestFit="1" customWidth="1"/>
    <col min="9" max="9" width="7.85546875" style="8" customWidth="1"/>
    <col min="10" max="10" width="18.5703125" style="3" bestFit="1" customWidth="1"/>
    <col min="11" max="11" width="8" style="30" bestFit="1" customWidth="1"/>
    <col min="12" max="12" width="8.28515625" style="8" customWidth="1"/>
    <col min="13" max="13" width="8.85546875" style="3" customWidth="1"/>
    <col min="14" max="16384" width="11.42578125" style="3"/>
  </cols>
  <sheetData>
    <row r="1" spans="2:14" s="24" customFormat="1" ht="37.5" customHeight="1" x14ac:dyDescent="0.2">
      <c r="B1" s="22" t="s">
        <v>85</v>
      </c>
      <c r="C1" s="22" t="s">
        <v>77</v>
      </c>
      <c r="D1" s="22" t="s">
        <v>82</v>
      </c>
      <c r="E1" s="22" t="s">
        <v>108</v>
      </c>
      <c r="F1" s="22" t="s">
        <v>6</v>
      </c>
      <c r="G1" s="22" t="s">
        <v>86</v>
      </c>
      <c r="H1" s="23" t="s">
        <v>1</v>
      </c>
      <c r="I1" s="23" t="s">
        <v>2</v>
      </c>
      <c r="J1" s="22" t="s">
        <v>3</v>
      </c>
      <c r="K1" s="27" t="s">
        <v>94</v>
      </c>
      <c r="L1" s="23" t="s">
        <v>112</v>
      </c>
      <c r="M1" s="22" t="s">
        <v>111</v>
      </c>
    </row>
    <row r="2" spans="2:14" s="25" customFormat="1" x14ac:dyDescent="0.2">
      <c r="B2" s="10" t="s">
        <v>0</v>
      </c>
      <c r="C2" s="1"/>
      <c r="D2" s="1"/>
      <c r="E2" s="1" t="s">
        <v>110</v>
      </c>
      <c r="F2" s="1"/>
      <c r="G2" s="1"/>
      <c r="H2" s="6">
        <f>0+H3</f>
        <v>0.58333333333333337</v>
      </c>
      <c r="I2" s="6">
        <f>0+I3</f>
        <v>0.48958333333333337</v>
      </c>
      <c r="J2" s="2" t="s">
        <v>92</v>
      </c>
      <c r="K2" s="26">
        <f>(0+H3*K3)/H2</f>
        <v>1</v>
      </c>
      <c r="L2" s="11">
        <f>(1-K2)*H2</f>
        <v>0</v>
      </c>
      <c r="M2" s="12">
        <v>42665</v>
      </c>
    </row>
    <row r="3" spans="2:14" ht="11.25" hidden="1" customHeight="1" x14ac:dyDescent="0.2">
      <c r="C3" s="16" t="s">
        <v>78</v>
      </c>
      <c r="D3" s="13"/>
      <c r="E3" s="13" t="s">
        <v>109</v>
      </c>
      <c r="F3" s="13"/>
      <c r="G3" s="13"/>
      <c r="H3" s="14">
        <f>0+H4+H7</f>
        <v>0.58333333333333337</v>
      </c>
      <c r="I3" s="14">
        <f>0+I4+I7</f>
        <v>0.48958333333333337</v>
      </c>
      <c r="J3" s="15" t="s">
        <v>5</v>
      </c>
      <c r="K3" s="28">
        <f>(0+H4*K4+H7*K7)/H3</f>
        <v>1</v>
      </c>
    </row>
    <row r="4" spans="2:14" ht="11.25" hidden="1" customHeight="1" x14ac:dyDescent="0.2">
      <c r="D4" s="18" t="s">
        <v>83</v>
      </c>
      <c r="E4" s="19"/>
      <c r="F4" s="19"/>
      <c r="G4" s="20" t="s">
        <v>4</v>
      </c>
      <c r="H4" s="21">
        <v>8.3333333333333329E-2</v>
      </c>
      <c r="I4" s="21">
        <f>0+I6</f>
        <v>4.1666666666666664E-2</v>
      </c>
      <c r="J4" s="19" t="s">
        <v>5</v>
      </c>
      <c r="K4" s="29">
        <v>1</v>
      </c>
    </row>
    <row r="5" spans="2:14" ht="11.25" hidden="1" customHeight="1" x14ac:dyDescent="0.2">
      <c r="F5" s="4" t="s">
        <v>6</v>
      </c>
      <c r="G5" s="4" t="s">
        <v>7</v>
      </c>
      <c r="H5" s="7" t="s">
        <v>8</v>
      </c>
      <c r="I5" s="7" t="s">
        <v>9</v>
      </c>
    </row>
    <row r="6" spans="2:14" ht="11.25" hidden="1" customHeight="1" x14ac:dyDescent="0.2">
      <c r="D6" s="5"/>
      <c r="E6" s="5"/>
      <c r="F6" s="5">
        <v>42661</v>
      </c>
      <c r="G6" s="3" t="s">
        <v>10</v>
      </c>
      <c r="H6" s="8" t="s">
        <v>11</v>
      </c>
      <c r="I6" s="8">
        <v>4.1666666666666664E-2</v>
      </c>
    </row>
    <row r="7" spans="2:14" ht="11.25" hidden="1" customHeight="1" x14ac:dyDescent="0.2">
      <c r="D7" s="18" t="s">
        <v>84</v>
      </c>
      <c r="E7" s="19"/>
      <c r="F7" s="19"/>
      <c r="G7" s="20" t="s">
        <v>12</v>
      </c>
      <c r="H7" s="21">
        <v>0.5</v>
      </c>
      <c r="I7" s="21">
        <f>0+I9+I10+I11</f>
        <v>0.44791666666666669</v>
      </c>
      <c r="J7" s="19" t="s">
        <v>5</v>
      </c>
      <c r="K7" s="29">
        <v>1</v>
      </c>
    </row>
    <row r="8" spans="2:14" ht="11.25" hidden="1" customHeight="1" x14ac:dyDescent="0.2">
      <c r="F8" s="4" t="s">
        <v>6</v>
      </c>
      <c r="G8" s="4" t="s">
        <v>7</v>
      </c>
      <c r="H8" s="7" t="s">
        <v>8</v>
      </c>
      <c r="I8" s="7" t="s">
        <v>9</v>
      </c>
    </row>
    <row r="9" spans="2:14" ht="11.25" hidden="1" customHeight="1" x14ac:dyDescent="0.2">
      <c r="D9" s="5"/>
      <c r="E9" s="5"/>
      <c r="F9" s="5">
        <v>42662</v>
      </c>
      <c r="G9" s="3" t="s">
        <v>13</v>
      </c>
      <c r="H9" s="8" t="s">
        <v>11</v>
      </c>
      <c r="I9" s="8">
        <v>5.2083333333333336E-2</v>
      </c>
    </row>
    <row r="10" spans="2:14" ht="11.25" hidden="1" customHeight="1" x14ac:dyDescent="0.2">
      <c r="D10" s="5"/>
      <c r="E10" s="5"/>
      <c r="F10" s="5">
        <v>42661</v>
      </c>
      <c r="G10" s="3" t="s">
        <v>10</v>
      </c>
      <c r="H10" s="8" t="s">
        <v>11</v>
      </c>
      <c r="I10" s="8">
        <v>0.14583333333333334</v>
      </c>
    </row>
    <row r="11" spans="2:14" ht="11.25" hidden="1" customHeight="1" x14ac:dyDescent="0.2">
      <c r="D11" s="5"/>
      <c r="E11" s="5"/>
      <c r="F11" s="5">
        <v>42662</v>
      </c>
      <c r="G11" s="3" t="s">
        <v>10</v>
      </c>
      <c r="H11" s="8" t="s">
        <v>11</v>
      </c>
      <c r="I11" s="8">
        <v>0.25</v>
      </c>
    </row>
    <row r="12" spans="2:14" x14ac:dyDescent="0.2">
      <c r="B12" s="10" t="s">
        <v>14</v>
      </c>
      <c r="C12" s="1" t="s">
        <v>81</v>
      </c>
      <c r="D12" s="1" t="s">
        <v>83</v>
      </c>
      <c r="E12" s="1" t="s">
        <v>110</v>
      </c>
      <c r="F12" s="9">
        <v>42681</v>
      </c>
      <c r="G12" s="1" t="s">
        <v>24</v>
      </c>
      <c r="H12" s="6">
        <f>0+H13+H23+H33</f>
        <v>1.8125</v>
      </c>
      <c r="I12" s="6">
        <f>0+I13+I23+I33</f>
        <v>6.25E-2</v>
      </c>
      <c r="J12" s="2" t="s">
        <v>93</v>
      </c>
      <c r="K12" s="26">
        <f>(0+H13*K13+H23*K23+H33*K33)/H12</f>
        <v>3.4482758620689655E-2</v>
      </c>
      <c r="L12" s="11">
        <f>(1-K12)*H12</f>
        <v>1.75</v>
      </c>
      <c r="M12" s="12">
        <v>42696</v>
      </c>
      <c r="N12" s="8"/>
    </row>
    <row r="13" spans="2:14" hidden="1" x14ac:dyDescent="0.2">
      <c r="C13" s="16" t="s">
        <v>79</v>
      </c>
      <c r="D13" s="13"/>
      <c r="E13" s="13" t="s">
        <v>109</v>
      </c>
      <c r="F13" s="13"/>
      <c r="G13" s="13"/>
      <c r="H13" s="14">
        <f>0+H14+H17+H20</f>
        <v>0.16666666666666666</v>
      </c>
      <c r="I13" s="14">
        <f>0+I14+I17+I20</f>
        <v>0</v>
      </c>
      <c r="J13" s="15" t="s">
        <v>16</v>
      </c>
      <c r="K13" s="28">
        <f>(0+H14*K14+H17*K17+H20*K20)/H13</f>
        <v>0</v>
      </c>
    </row>
    <row r="14" spans="2:14" ht="11.25" hidden="1" customHeight="1" x14ac:dyDescent="0.2">
      <c r="D14" s="18" t="s">
        <v>83</v>
      </c>
      <c r="E14" s="19"/>
      <c r="F14" s="19"/>
      <c r="G14" s="20" t="s">
        <v>15</v>
      </c>
      <c r="H14" s="21">
        <v>4.1666666666666664E-2</v>
      </c>
      <c r="I14" s="21">
        <f>0</f>
        <v>0</v>
      </c>
      <c r="J14" s="19" t="s">
        <v>16</v>
      </c>
      <c r="K14" s="29">
        <f>I14/H14</f>
        <v>0</v>
      </c>
    </row>
    <row r="15" spans="2:14" ht="11.25" hidden="1" customHeight="1" x14ac:dyDescent="0.2">
      <c r="F15" s="4" t="s">
        <v>6</v>
      </c>
      <c r="G15" s="4" t="s">
        <v>7</v>
      </c>
      <c r="H15" s="7" t="s">
        <v>8</v>
      </c>
      <c r="I15" s="7" t="s">
        <v>9</v>
      </c>
    </row>
    <row r="16" spans="2:14" ht="11.25" hidden="1" customHeight="1" x14ac:dyDescent="0.2">
      <c r="F16" s="3" t="s">
        <v>17</v>
      </c>
      <c r="G16" s="3" t="s">
        <v>18</v>
      </c>
    </row>
    <row r="17" spans="3:11" ht="11.25" hidden="1" customHeight="1" x14ac:dyDescent="0.2">
      <c r="D17" s="18" t="s">
        <v>84</v>
      </c>
      <c r="E17" s="19"/>
      <c r="F17" s="19"/>
      <c r="G17" s="20" t="s">
        <v>19</v>
      </c>
      <c r="H17" s="21">
        <v>8.3333333333333329E-2</v>
      </c>
      <c r="I17" s="21">
        <f>0</f>
        <v>0</v>
      </c>
      <c r="J17" s="19" t="s">
        <v>16</v>
      </c>
      <c r="K17" s="29">
        <f>I17/H17</f>
        <v>0</v>
      </c>
    </row>
    <row r="18" spans="3:11" ht="11.25" hidden="1" customHeight="1" x14ac:dyDescent="0.2">
      <c r="F18" s="4" t="s">
        <v>6</v>
      </c>
      <c r="G18" s="4" t="s">
        <v>7</v>
      </c>
      <c r="H18" s="7" t="s">
        <v>8</v>
      </c>
      <c r="I18" s="7" t="s">
        <v>9</v>
      </c>
    </row>
    <row r="19" spans="3:11" ht="11.25" hidden="1" customHeight="1" x14ac:dyDescent="0.2">
      <c r="F19" s="3" t="s">
        <v>17</v>
      </c>
      <c r="G19" s="3" t="s">
        <v>18</v>
      </c>
    </row>
    <row r="20" spans="3:11" ht="11.25" hidden="1" customHeight="1" x14ac:dyDescent="0.2">
      <c r="D20" s="18" t="s">
        <v>87</v>
      </c>
      <c r="E20" s="19"/>
      <c r="F20" s="19"/>
      <c r="G20" s="20" t="s">
        <v>20</v>
      </c>
      <c r="H20" s="21">
        <v>4.1666666666666664E-2</v>
      </c>
      <c r="I20" s="21">
        <f>0</f>
        <v>0</v>
      </c>
      <c r="J20" s="19" t="s">
        <v>16</v>
      </c>
      <c r="K20" s="29">
        <f>I20/H20</f>
        <v>0</v>
      </c>
    </row>
    <row r="21" spans="3:11" ht="11.25" hidden="1" customHeight="1" x14ac:dyDescent="0.2">
      <c r="F21" s="4" t="s">
        <v>6</v>
      </c>
      <c r="G21" s="4" t="s">
        <v>7</v>
      </c>
      <c r="H21" s="7" t="s">
        <v>8</v>
      </c>
      <c r="I21" s="7" t="s">
        <v>9</v>
      </c>
    </row>
    <row r="22" spans="3:11" ht="11.25" hidden="1" customHeight="1" x14ac:dyDescent="0.2">
      <c r="F22" s="3" t="s">
        <v>17</v>
      </c>
      <c r="G22" s="3" t="s">
        <v>18</v>
      </c>
    </row>
    <row r="23" spans="3:11" hidden="1" x14ac:dyDescent="0.2">
      <c r="C23" s="16" t="s">
        <v>80</v>
      </c>
      <c r="D23" s="13"/>
      <c r="E23" s="13" t="s">
        <v>109</v>
      </c>
      <c r="F23" s="13"/>
      <c r="G23" s="13"/>
      <c r="H23" s="14">
        <f>0+H24+H27+H30</f>
        <v>0.125</v>
      </c>
      <c r="I23" s="14">
        <f>0+I24+I27+I30</f>
        <v>0</v>
      </c>
      <c r="J23" s="15" t="s">
        <v>16</v>
      </c>
      <c r="K23" s="28">
        <f>(0+H24*K24+H27*K27+H30*K30)/H23</f>
        <v>0</v>
      </c>
    </row>
    <row r="24" spans="3:11" ht="11.25" hidden="1" customHeight="1" x14ac:dyDescent="0.2">
      <c r="D24" s="18" t="s">
        <v>83</v>
      </c>
      <c r="E24" s="19"/>
      <c r="F24" s="19"/>
      <c r="G24" s="20" t="s">
        <v>21</v>
      </c>
      <c r="H24" s="21">
        <v>4.1666666666666664E-2</v>
      </c>
      <c r="I24" s="21">
        <f>0</f>
        <v>0</v>
      </c>
      <c r="J24" s="19" t="s">
        <v>16</v>
      </c>
      <c r="K24" s="29">
        <f>I24/H24</f>
        <v>0</v>
      </c>
    </row>
    <row r="25" spans="3:11" ht="11.25" hidden="1" customHeight="1" x14ac:dyDescent="0.2">
      <c r="F25" s="4" t="s">
        <v>6</v>
      </c>
      <c r="G25" s="4" t="s">
        <v>7</v>
      </c>
      <c r="H25" s="7" t="s">
        <v>8</v>
      </c>
      <c r="I25" s="7" t="s">
        <v>9</v>
      </c>
    </row>
    <row r="26" spans="3:11" ht="11.25" hidden="1" customHeight="1" x14ac:dyDescent="0.2">
      <c r="F26" s="3" t="s">
        <v>17</v>
      </c>
      <c r="G26" s="3" t="s">
        <v>18</v>
      </c>
    </row>
    <row r="27" spans="3:11" ht="11.25" hidden="1" customHeight="1" x14ac:dyDescent="0.2">
      <c r="D27" s="18" t="s">
        <v>84</v>
      </c>
      <c r="E27" s="19"/>
      <c r="F27" s="19"/>
      <c r="G27" s="20" t="s">
        <v>22</v>
      </c>
      <c r="H27" s="21">
        <v>4.1666666666666664E-2</v>
      </c>
      <c r="I27" s="21">
        <f>0</f>
        <v>0</v>
      </c>
      <c r="J27" s="19" t="s">
        <v>16</v>
      </c>
      <c r="K27" s="29">
        <f>I27/H27</f>
        <v>0</v>
      </c>
    </row>
    <row r="28" spans="3:11" ht="11.25" hidden="1" customHeight="1" x14ac:dyDescent="0.2">
      <c r="F28" s="4" t="s">
        <v>6</v>
      </c>
      <c r="G28" s="4" t="s">
        <v>7</v>
      </c>
      <c r="H28" s="7" t="s">
        <v>8</v>
      </c>
      <c r="I28" s="7" t="s">
        <v>9</v>
      </c>
    </row>
    <row r="29" spans="3:11" ht="11.25" hidden="1" customHeight="1" x14ac:dyDescent="0.2">
      <c r="F29" s="3" t="s">
        <v>17</v>
      </c>
      <c r="G29" s="3" t="s">
        <v>18</v>
      </c>
    </row>
    <row r="30" spans="3:11" ht="11.25" hidden="1" customHeight="1" x14ac:dyDescent="0.2">
      <c r="D30" s="18" t="s">
        <v>87</v>
      </c>
      <c r="E30" s="19"/>
      <c r="F30" s="19"/>
      <c r="G30" s="20" t="s">
        <v>23</v>
      </c>
      <c r="H30" s="21">
        <v>4.1666666666666664E-2</v>
      </c>
      <c r="I30" s="21">
        <f>0</f>
        <v>0</v>
      </c>
      <c r="J30" s="19" t="s">
        <v>16</v>
      </c>
      <c r="K30" s="29">
        <f>I30/H30</f>
        <v>0</v>
      </c>
    </row>
    <row r="31" spans="3:11" ht="11.25" hidden="1" customHeight="1" x14ac:dyDescent="0.2">
      <c r="F31" s="4" t="s">
        <v>6</v>
      </c>
      <c r="G31" s="4" t="s">
        <v>7</v>
      </c>
      <c r="H31" s="7" t="s">
        <v>8</v>
      </c>
      <c r="I31" s="7" t="s">
        <v>9</v>
      </c>
    </row>
    <row r="32" spans="3:11" ht="11.25" hidden="1" customHeight="1" x14ac:dyDescent="0.2">
      <c r="F32" s="3" t="s">
        <v>17</v>
      </c>
      <c r="G32" s="3" t="s">
        <v>18</v>
      </c>
    </row>
    <row r="33" spans="3:11" hidden="1" x14ac:dyDescent="0.2">
      <c r="C33" s="16" t="s">
        <v>81</v>
      </c>
      <c r="D33" s="13" t="s">
        <v>83</v>
      </c>
      <c r="E33" s="13" t="s">
        <v>109</v>
      </c>
      <c r="F33" s="17">
        <v>42681</v>
      </c>
      <c r="G33" s="13" t="s">
        <v>24</v>
      </c>
      <c r="H33" s="14">
        <f>0+H34+H37+H40+H43+H46+H49+H52</f>
        <v>1.5208333333333333</v>
      </c>
      <c r="I33" s="14">
        <f>0+I34+I37+I40+I43+I46+I49+I52</f>
        <v>6.25E-2</v>
      </c>
      <c r="J33" s="15" t="s">
        <v>25</v>
      </c>
      <c r="K33" s="28">
        <f>(0+H34*K34+H37*K37+H40*K40+H43*K43+H46*K46+H49*K49+H52*K52)/H33</f>
        <v>4.1095890410958909E-2</v>
      </c>
    </row>
    <row r="34" spans="3:11" ht="11.25" hidden="1" customHeight="1" x14ac:dyDescent="0.2">
      <c r="D34" s="18" t="s">
        <v>83</v>
      </c>
      <c r="E34" s="19"/>
      <c r="F34" s="19"/>
      <c r="G34" s="20" t="s">
        <v>24</v>
      </c>
      <c r="H34" s="21">
        <v>8.3333333333333329E-2</v>
      </c>
      <c r="I34" s="21">
        <f>0+I36</f>
        <v>6.25E-2</v>
      </c>
      <c r="J34" s="19" t="s">
        <v>25</v>
      </c>
      <c r="K34" s="29">
        <f>I34/H34</f>
        <v>0.75</v>
      </c>
    </row>
    <row r="35" spans="3:11" ht="11.25" hidden="1" customHeight="1" x14ac:dyDescent="0.2">
      <c r="F35" s="4" t="s">
        <v>6</v>
      </c>
      <c r="G35" s="4" t="s">
        <v>7</v>
      </c>
      <c r="H35" s="7" t="s">
        <v>8</v>
      </c>
      <c r="I35" s="7" t="s">
        <v>9</v>
      </c>
    </row>
    <row r="36" spans="3:11" ht="11.25" hidden="1" customHeight="1" x14ac:dyDescent="0.2">
      <c r="D36" s="5"/>
      <c r="E36" s="5"/>
      <c r="F36" s="5">
        <v>42681</v>
      </c>
      <c r="G36" s="3" t="s">
        <v>26</v>
      </c>
      <c r="H36" s="8" t="s">
        <v>11</v>
      </c>
      <c r="I36" s="8">
        <v>6.25E-2</v>
      </c>
    </row>
    <row r="37" spans="3:11" ht="11.25" hidden="1" customHeight="1" x14ac:dyDescent="0.2">
      <c r="D37" s="18" t="s">
        <v>84</v>
      </c>
      <c r="E37" s="19"/>
      <c r="F37" s="19"/>
      <c r="G37" s="20" t="s">
        <v>24</v>
      </c>
      <c r="H37" s="21">
        <v>8.3333333333333329E-2</v>
      </c>
      <c r="I37" s="21">
        <f>0</f>
        <v>0</v>
      </c>
      <c r="J37" s="19" t="s">
        <v>16</v>
      </c>
      <c r="K37" s="29">
        <f>I37/H37</f>
        <v>0</v>
      </c>
    </row>
    <row r="38" spans="3:11" ht="11.25" hidden="1" customHeight="1" x14ac:dyDescent="0.2">
      <c r="F38" s="4" t="s">
        <v>6</v>
      </c>
      <c r="G38" s="4" t="s">
        <v>7</v>
      </c>
      <c r="H38" s="7" t="s">
        <v>8</v>
      </c>
      <c r="I38" s="7" t="s">
        <v>9</v>
      </c>
    </row>
    <row r="39" spans="3:11" ht="11.25" hidden="1" customHeight="1" x14ac:dyDescent="0.2">
      <c r="F39" s="3" t="s">
        <v>17</v>
      </c>
      <c r="G39" s="3" t="s">
        <v>18</v>
      </c>
    </row>
    <row r="40" spans="3:11" ht="11.25" hidden="1" customHeight="1" x14ac:dyDescent="0.2">
      <c r="D40" s="18" t="s">
        <v>87</v>
      </c>
      <c r="E40" s="19"/>
      <c r="F40" s="19"/>
      <c r="G40" s="20" t="s">
        <v>27</v>
      </c>
      <c r="H40" s="21">
        <v>0.91666666666666663</v>
      </c>
      <c r="I40" s="21">
        <f>0</f>
        <v>0</v>
      </c>
      <c r="J40" s="19" t="s">
        <v>16</v>
      </c>
      <c r="K40" s="29">
        <f>I40/H40</f>
        <v>0</v>
      </c>
    </row>
    <row r="41" spans="3:11" ht="11.25" hidden="1" customHeight="1" x14ac:dyDescent="0.2">
      <c r="F41" s="4" t="s">
        <v>6</v>
      </c>
      <c r="G41" s="4" t="s">
        <v>7</v>
      </c>
      <c r="H41" s="7" t="s">
        <v>8</v>
      </c>
      <c r="I41" s="7" t="s">
        <v>9</v>
      </c>
    </row>
    <row r="42" spans="3:11" ht="11.25" hidden="1" customHeight="1" x14ac:dyDescent="0.2">
      <c r="F42" s="3" t="s">
        <v>17</v>
      </c>
      <c r="G42" s="3" t="s">
        <v>18</v>
      </c>
    </row>
    <row r="43" spans="3:11" ht="11.25" hidden="1" customHeight="1" x14ac:dyDescent="0.2">
      <c r="D43" s="18" t="s">
        <v>88</v>
      </c>
      <c r="E43" s="19"/>
      <c r="F43" s="19"/>
      <c r="G43" s="20" t="s">
        <v>28</v>
      </c>
      <c r="H43" s="21">
        <v>6.25E-2</v>
      </c>
      <c r="I43" s="21">
        <f>0</f>
        <v>0</v>
      </c>
      <c r="J43" s="19" t="s">
        <v>16</v>
      </c>
      <c r="K43" s="29">
        <f>I43/H43</f>
        <v>0</v>
      </c>
    </row>
    <row r="44" spans="3:11" ht="11.25" hidden="1" customHeight="1" x14ac:dyDescent="0.2">
      <c r="F44" s="4" t="s">
        <v>6</v>
      </c>
      <c r="G44" s="4" t="s">
        <v>7</v>
      </c>
      <c r="H44" s="7" t="s">
        <v>8</v>
      </c>
      <c r="I44" s="7" t="s">
        <v>9</v>
      </c>
    </row>
    <row r="45" spans="3:11" ht="11.25" hidden="1" customHeight="1" x14ac:dyDescent="0.2">
      <c r="F45" s="3" t="s">
        <v>17</v>
      </c>
      <c r="G45" s="3" t="s">
        <v>18</v>
      </c>
    </row>
    <row r="46" spans="3:11" ht="11.25" hidden="1" customHeight="1" x14ac:dyDescent="0.2">
      <c r="D46" s="18" t="s">
        <v>89</v>
      </c>
      <c r="E46" s="19"/>
      <c r="F46" s="19"/>
      <c r="G46" s="20" t="s">
        <v>29</v>
      </c>
      <c r="H46" s="21">
        <v>0.16666666666666666</v>
      </c>
      <c r="I46" s="21">
        <f>0</f>
        <v>0</v>
      </c>
      <c r="J46" s="19" t="s">
        <v>16</v>
      </c>
      <c r="K46" s="29">
        <f>I46/H46</f>
        <v>0</v>
      </c>
    </row>
    <row r="47" spans="3:11" ht="11.25" hidden="1" customHeight="1" x14ac:dyDescent="0.2">
      <c r="F47" s="4" t="s">
        <v>6</v>
      </c>
      <c r="G47" s="4" t="s">
        <v>7</v>
      </c>
      <c r="H47" s="7" t="s">
        <v>8</v>
      </c>
      <c r="I47" s="7" t="s">
        <v>9</v>
      </c>
    </row>
    <row r="48" spans="3:11" ht="11.25" hidden="1" customHeight="1" x14ac:dyDescent="0.2">
      <c r="F48" s="3" t="s">
        <v>17</v>
      </c>
      <c r="G48" s="3" t="s">
        <v>18</v>
      </c>
    </row>
    <row r="49" spans="2:13" ht="11.25" hidden="1" customHeight="1" x14ac:dyDescent="0.2">
      <c r="D49" s="18" t="s">
        <v>90</v>
      </c>
      <c r="E49" s="19"/>
      <c r="F49" s="19"/>
      <c r="G49" s="20" t="s">
        <v>30</v>
      </c>
      <c r="H49" s="21">
        <v>0.125</v>
      </c>
      <c r="I49" s="21">
        <f>0</f>
        <v>0</v>
      </c>
      <c r="J49" s="19" t="s">
        <v>16</v>
      </c>
      <c r="K49" s="29">
        <f>I49/H49</f>
        <v>0</v>
      </c>
    </row>
    <row r="50" spans="2:13" ht="11.25" hidden="1" customHeight="1" x14ac:dyDescent="0.2">
      <c r="F50" s="4" t="s">
        <v>6</v>
      </c>
      <c r="G50" s="4" t="s">
        <v>7</v>
      </c>
      <c r="H50" s="7" t="s">
        <v>8</v>
      </c>
      <c r="I50" s="7" t="s">
        <v>9</v>
      </c>
    </row>
    <row r="51" spans="2:13" ht="11.25" hidden="1" customHeight="1" x14ac:dyDescent="0.2">
      <c r="F51" s="3" t="s">
        <v>17</v>
      </c>
      <c r="G51" s="3" t="s">
        <v>18</v>
      </c>
    </row>
    <row r="52" spans="2:13" ht="11.25" hidden="1" customHeight="1" x14ac:dyDescent="0.2">
      <c r="D52" s="18" t="s">
        <v>91</v>
      </c>
      <c r="E52" s="19"/>
      <c r="F52" s="19"/>
      <c r="G52" s="20" t="s">
        <v>31</v>
      </c>
      <c r="H52" s="21">
        <v>8.3333333333333329E-2</v>
      </c>
      <c r="I52" s="21">
        <f>0</f>
        <v>0</v>
      </c>
      <c r="J52" s="19" t="s">
        <v>16</v>
      </c>
      <c r="K52" s="29">
        <f>I52/H52</f>
        <v>0</v>
      </c>
    </row>
    <row r="53" spans="2:13" ht="11.25" hidden="1" customHeight="1" x14ac:dyDescent="0.2">
      <c r="F53" s="4" t="s">
        <v>6</v>
      </c>
      <c r="G53" s="4" t="s">
        <v>7</v>
      </c>
      <c r="H53" s="7" t="s">
        <v>8</v>
      </c>
      <c r="I53" s="7" t="s">
        <v>9</v>
      </c>
    </row>
    <row r="54" spans="2:13" ht="11.25" hidden="1" customHeight="1" x14ac:dyDescent="0.2">
      <c r="F54" s="3" t="s">
        <v>17</v>
      </c>
      <c r="G54" s="3" t="s">
        <v>18</v>
      </c>
    </row>
    <row r="55" spans="2:13" x14ac:dyDescent="0.2">
      <c r="B55" s="10" t="s">
        <v>32</v>
      </c>
      <c r="C55" s="1"/>
      <c r="D55" s="1"/>
      <c r="E55" s="1" t="s">
        <v>110</v>
      </c>
      <c r="F55" s="9"/>
      <c r="G55" s="1"/>
      <c r="H55" s="6">
        <f>0+H56</f>
        <v>0.70833333333333326</v>
      </c>
      <c r="I55" s="6">
        <f>0+I56</f>
        <v>0.5625</v>
      </c>
      <c r="J55" s="2" t="s">
        <v>95</v>
      </c>
      <c r="K55" s="26">
        <f>(0+H56*K56)/H55</f>
        <v>1</v>
      </c>
      <c r="L55" s="11">
        <f>(1-K55)*H55</f>
        <v>0</v>
      </c>
      <c r="M55" s="12"/>
    </row>
    <row r="56" spans="2:13" hidden="1" x14ac:dyDescent="0.2">
      <c r="C56" s="16" t="s">
        <v>98</v>
      </c>
      <c r="D56" s="13"/>
      <c r="E56" s="13" t="s">
        <v>109</v>
      </c>
      <c r="F56" s="17"/>
      <c r="G56" s="13"/>
      <c r="H56" s="14">
        <f>0+H57+H60+H64+H67</f>
        <v>0.70833333333333326</v>
      </c>
      <c r="I56" s="14">
        <f>0+I57+I60+I64+I67</f>
        <v>0.5625</v>
      </c>
      <c r="J56" s="15" t="s">
        <v>5</v>
      </c>
      <c r="K56" s="28">
        <f>(0+H57*K57+H60*K60+H64*K64+H67*K67)/H56</f>
        <v>1</v>
      </c>
    </row>
    <row r="57" spans="2:13" ht="11.25" hidden="1" customHeight="1" x14ac:dyDescent="0.2">
      <c r="D57" s="18" t="s">
        <v>83</v>
      </c>
      <c r="E57" s="19"/>
      <c r="F57" s="19"/>
      <c r="G57" s="20" t="s">
        <v>33</v>
      </c>
      <c r="H57" s="21">
        <v>0.16666666666666666</v>
      </c>
      <c r="I57" s="21">
        <f>0</f>
        <v>0</v>
      </c>
      <c r="J57" s="19" t="s">
        <v>5</v>
      </c>
      <c r="K57" s="29">
        <v>1</v>
      </c>
    </row>
    <row r="58" spans="2:13" ht="11.25" hidden="1" customHeight="1" x14ac:dyDescent="0.2">
      <c r="F58" s="4" t="s">
        <v>6</v>
      </c>
      <c r="G58" s="4" t="s">
        <v>7</v>
      </c>
      <c r="H58" s="7" t="s">
        <v>8</v>
      </c>
      <c r="I58" s="7" t="s">
        <v>9</v>
      </c>
    </row>
    <row r="59" spans="2:13" ht="11.25" hidden="1" customHeight="1" x14ac:dyDescent="0.2">
      <c r="F59" s="3" t="s">
        <v>17</v>
      </c>
      <c r="G59" s="3" t="s">
        <v>18</v>
      </c>
    </row>
    <row r="60" spans="2:13" ht="11.25" hidden="1" customHeight="1" x14ac:dyDescent="0.2">
      <c r="D60" s="18" t="s">
        <v>84</v>
      </c>
      <c r="E60" s="19"/>
      <c r="F60" s="19"/>
      <c r="G60" s="20" t="s">
        <v>34</v>
      </c>
      <c r="H60" s="21">
        <v>0.33333333333333331</v>
      </c>
      <c r="I60" s="21">
        <f>0+I62+I63</f>
        <v>0.34375</v>
      </c>
      <c r="J60" s="19" t="s">
        <v>5</v>
      </c>
      <c r="K60" s="29">
        <v>1</v>
      </c>
    </row>
    <row r="61" spans="2:13" ht="11.25" hidden="1" customHeight="1" x14ac:dyDescent="0.2">
      <c r="F61" s="4" t="s">
        <v>6</v>
      </c>
      <c r="G61" s="4" t="s">
        <v>7</v>
      </c>
      <c r="H61" s="7" t="s">
        <v>8</v>
      </c>
      <c r="I61" s="7" t="s">
        <v>9</v>
      </c>
    </row>
    <row r="62" spans="2:13" ht="11.25" hidden="1" customHeight="1" x14ac:dyDescent="0.2">
      <c r="D62" s="5"/>
      <c r="E62" s="5"/>
      <c r="F62" s="5">
        <v>42661</v>
      </c>
      <c r="G62" s="3" t="s">
        <v>35</v>
      </c>
      <c r="H62" s="8" t="s">
        <v>11</v>
      </c>
      <c r="I62" s="8">
        <v>8.3333333333333329E-2</v>
      </c>
    </row>
    <row r="63" spans="2:13" ht="11.25" hidden="1" customHeight="1" x14ac:dyDescent="0.2">
      <c r="D63" s="5"/>
      <c r="E63" s="5"/>
      <c r="F63" s="5">
        <v>42662</v>
      </c>
      <c r="G63" s="3" t="s">
        <v>35</v>
      </c>
      <c r="H63" s="8" t="s">
        <v>11</v>
      </c>
      <c r="I63" s="8">
        <v>0.26041666666666669</v>
      </c>
    </row>
    <row r="64" spans="2:13" ht="11.25" hidden="1" customHeight="1" x14ac:dyDescent="0.2">
      <c r="D64" s="18" t="s">
        <v>87</v>
      </c>
      <c r="E64" s="19"/>
      <c r="F64" s="19"/>
      <c r="G64" s="20" t="s">
        <v>36</v>
      </c>
      <c r="H64" s="21">
        <v>0.16666666666666666</v>
      </c>
      <c r="I64" s="21">
        <f>0+I66</f>
        <v>0.16666666666666666</v>
      </c>
      <c r="J64" s="19" t="s">
        <v>5</v>
      </c>
      <c r="K64" s="29">
        <v>1</v>
      </c>
    </row>
    <row r="65" spans="2:13" ht="11.25" hidden="1" customHeight="1" x14ac:dyDescent="0.2">
      <c r="F65" s="4" t="s">
        <v>6</v>
      </c>
      <c r="G65" s="4" t="s">
        <v>7</v>
      </c>
      <c r="H65" s="7" t="s">
        <v>8</v>
      </c>
      <c r="I65" s="7" t="s">
        <v>9</v>
      </c>
    </row>
    <row r="66" spans="2:13" ht="11.25" hidden="1" customHeight="1" x14ac:dyDescent="0.2">
      <c r="D66" s="5"/>
      <c r="E66" s="5"/>
      <c r="F66" s="5">
        <v>42663</v>
      </c>
      <c r="G66" s="3" t="s">
        <v>35</v>
      </c>
      <c r="H66" s="8" t="s">
        <v>11</v>
      </c>
      <c r="I66" s="8">
        <v>0.16666666666666666</v>
      </c>
    </row>
    <row r="67" spans="2:13" ht="11.25" hidden="1" customHeight="1" x14ac:dyDescent="0.2">
      <c r="D67" s="18" t="s">
        <v>88</v>
      </c>
      <c r="E67" s="19"/>
      <c r="F67" s="19"/>
      <c r="G67" s="20" t="s">
        <v>37</v>
      </c>
      <c r="H67" s="21">
        <v>4.1666666666666664E-2</v>
      </c>
      <c r="I67" s="21">
        <f>0+I69</f>
        <v>5.2083333333333336E-2</v>
      </c>
      <c r="J67" s="19" t="s">
        <v>5</v>
      </c>
      <c r="K67" s="29">
        <v>1</v>
      </c>
    </row>
    <row r="68" spans="2:13" ht="11.25" hidden="1" customHeight="1" x14ac:dyDescent="0.2">
      <c r="F68" s="4" t="s">
        <v>6</v>
      </c>
      <c r="G68" s="4" t="s">
        <v>7</v>
      </c>
      <c r="H68" s="7" t="s">
        <v>8</v>
      </c>
      <c r="I68" s="7" t="s">
        <v>9</v>
      </c>
    </row>
    <row r="69" spans="2:13" ht="11.25" hidden="1" customHeight="1" x14ac:dyDescent="0.2">
      <c r="D69" s="5"/>
      <c r="E69" s="5"/>
      <c r="F69" s="5">
        <v>42663</v>
      </c>
      <c r="G69" s="3" t="s">
        <v>35</v>
      </c>
      <c r="H69" s="8" t="s">
        <v>11</v>
      </c>
      <c r="I69" s="8">
        <v>5.2083333333333336E-2</v>
      </c>
    </row>
    <row r="70" spans="2:13" x14ac:dyDescent="0.2">
      <c r="B70" s="10" t="s">
        <v>38</v>
      </c>
      <c r="C70" s="1"/>
      <c r="D70" s="1"/>
      <c r="E70" s="1" t="s">
        <v>110</v>
      </c>
      <c r="F70" s="9"/>
      <c r="G70" s="1"/>
      <c r="H70" s="6">
        <f>0+H71</f>
        <v>1.0729166666666667</v>
      </c>
      <c r="I70" s="6">
        <f>0+I71</f>
        <v>0.60416666666666663</v>
      </c>
      <c r="J70" s="2" t="s">
        <v>95</v>
      </c>
      <c r="K70" s="26">
        <f>(0+H71*K71)/H70</f>
        <v>1</v>
      </c>
      <c r="L70" s="11">
        <f>(1-K70)*H70</f>
        <v>0</v>
      </c>
      <c r="M70" s="12"/>
    </row>
    <row r="71" spans="2:13" hidden="1" x14ac:dyDescent="0.2">
      <c r="C71" s="16" t="s">
        <v>103</v>
      </c>
      <c r="D71" s="13"/>
      <c r="E71" s="13" t="s">
        <v>109</v>
      </c>
      <c r="F71" s="17"/>
      <c r="G71" s="13"/>
      <c r="H71" s="14">
        <f>0+H72+H75+H78+H82+H85</f>
        <v>1.0729166666666667</v>
      </c>
      <c r="I71" s="14">
        <f>0+I72+I75+I78+I82+I85</f>
        <v>0.60416666666666663</v>
      </c>
      <c r="J71" s="15" t="s">
        <v>5</v>
      </c>
      <c r="K71" s="28">
        <f>(0+H72*K72+H75*K75+H78*K78+H82*K82+H85*K85)/H71</f>
        <v>1</v>
      </c>
    </row>
    <row r="72" spans="2:13" ht="11.25" hidden="1" customHeight="1" x14ac:dyDescent="0.2">
      <c r="D72" s="18" t="s">
        <v>83</v>
      </c>
      <c r="E72" s="19"/>
      <c r="F72" s="19"/>
      <c r="G72" s="20" t="s">
        <v>39</v>
      </c>
      <c r="H72" s="21">
        <v>0.33333333333333331</v>
      </c>
      <c r="I72" s="21">
        <f>0</f>
        <v>0</v>
      </c>
      <c r="J72" s="19" t="s">
        <v>5</v>
      </c>
      <c r="K72" s="29">
        <v>1</v>
      </c>
    </row>
    <row r="73" spans="2:13" s="4" customFormat="1" ht="11.25" hidden="1" customHeight="1" x14ac:dyDescent="0.2">
      <c r="F73" s="4" t="s">
        <v>6</v>
      </c>
      <c r="G73" s="4" t="s">
        <v>7</v>
      </c>
      <c r="H73" s="7" t="s">
        <v>8</v>
      </c>
      <c r="I73" s="7" t="s">
        <v>9</v>
      </c>
      <c r="K73" s="31"/>
      <c r="L73" s="7"/>
    </row>
    <row r="74" spans="2:13" ht="11.25" hidden="1" customHeight="1" x14ac:dyDescent="0.2">
      <c r="F74" s="3" t="s">
        <v>17</v>
      </c>
      <c r="G74" s="3" t="s">
        <v>18</v>
      </c>
    </row>
    <row r="75" spans="2:13" ht="11.25" hidden="1" customHeight="1" x14ac:dyDescent="0.2">
      <c r="D75" s="18" t="s">
        <v>84</v>
      </c>
      <c r="E75" s="19"/>
      <c r="F75" s="19"/>
      <c r="G75" s="20" t="s">
        <v>40</v>
      </c>
      <c r="H75" s="21">
        <v>3.125E-2</v>
      </c>
      <c r="I75" s="21">
        <f>0+I77</f>
        <v>2.0833333333333332E-2</v>
      </c>
      <c r="J75" s="19" t="s">
        <v>5</v>
      </c>
      <c r="K75" s="29">
        <v>1</v>
      </c>
    </row>
    <row r="76" spans="2:13" s="4" customFormat="1" ht="11.25" hidden="1" customHeight="1" x14ac:dyDescent="0.2">
      <c r="F76" s="4" t="s">
        <v>6</v>
      </c>
      <c r="G76" s="4" t="s">
        <v>7</v>
      </c>
      <c r="H76" s="7" t="s">
        <v>8</v>
      </c>
      <c r="I76" s="7" t="s">
        <v>9</v>
      </c>
      <c r="K76" s="31"/>
      <c r="L76" s="7"/>
    </row>
    <row r="77" spans="2:13" ht="11.25" hidden="1" customHeight="1" x14ac:dyDescent="0.2">
      <c r="D77" s="5"/>
      <c r="E77" s="5"/>
      <c r="F77" s="5">
        <v>42663</v>
      </c>
      <c r="G77" s="3" t="s">
        <v>10</v>
      </c>
      <c r="H77" s="8" t="s">
        <v>11</v>
      </c>
      <c r="I77" s="8">
        <v>2.0833333333333332E-2</v>
      </c>
    </row>
    <row r="78" spans="2:13" ht="11.25" hidden="1" customHeight="1" x14ac:dyDescent="0.2">
      <c r="D78" s="18" t="s">
        <v>87</v>
      </c>
      <c r="E78" s="19"/>
      <c r="F78" s="19"/>
      <c r="G78" s="20" t="s">
        <v>41</v>
      </c>
      <c r="H78" s="21">
        <v>0.5</v>
      </c>
      <c r="I78" s="21">
        <f>0+I80+I81</f>
        <v>0.375</v>
      </c>
      <c r="J78" s="19" t="s">
        <v>5</v>
      </c>
      <c r="K78" s="29">
        <v>1</v>
      </c>
    </row>
    <row r="79" spans="2:13" s="4" customFormat="1" ht="11.25" hidden="1" customHeight="1" x14ac:dyDescent="0.2">
      <c r="F79" s="4" t="s">
        <v>6</v>
      </c>
      <c r="G79" s="4" t="s">
        <v>7</v>
      </c>
      <c r="H79" s="7" t="s">
        <v>8</v>
      </c>
      <c r="I79" s="7" t="s">
        <v>9</v>
      </c>
      <c r="K79" s="31"/>
      <c r="L79" s="7"/>
    </row>
    <row r="80" spans="2:13" ht="11.25" hidden="1" customHeight="1" x14ac:dyDescent="0.2">
      <c r="D80" s="5"/>
      <c r="E80" s="5"/>
      <c r="F80" s="5">
        <v>42663</v>
      </c>
      <c r="G80" s="3" t="s">
        <v>26</v>
      </c>
      <c r="H80" s="8" t="s">
        <v>11</v>
      </c>
      <c r="I80" s="8">
        <v>0.1875</v>
      </c>
    </row>
    <row r="81" spans="2:13" ht="11.25" hidden="1" customHeight="1" x14ac:dyDescent="0.2">
      <c r="D81" s="5"/>
      <c r="E81" s="5"/>
      <c r="F81" s="5">
        <v>42663</v>
      </c>
      <c r="G81" s="3" t="s">
        <v>10</v>
      </c>
      <c r="H81" s="8" t="s">
        <v>11</v>
      </c>
      <c r="I81" s="8">
        <v>0.1875</v>
      </c>
    </row>
    <row r="82" spans="2:13" ht="11.25" hidden="1" customHeight="1" x14ac:dyDescent="0.2">
      <c r="D82" s="18" t="s">
        <v>88</v>
      </c>
      <c r="E82" s="19"/>
      <c r="F82" s="19"/>
      <c r="G82" s="20" t="s">
        <v>42</v>
      </c>
      <c r="H82" s="21">
        <v>0.16666666666666666</v>
      </c>
      <c r="I82" s="21">
        <f>0+I84</f>
        <v>0.16666666666666666</v>
      </c>
      <c r="J82" s="19" t="s">
        <v>5</v>
      </c>
      <c r="K82" s="29">
        <v>1</v>
      </c>
    </row>
    <row r="83" spans="2:13" s="4" customFormat="1" ht="11.25" hidden="1" customHeight="1" x14ac:dyDescent="0.2">
      <c r="F83" s="4" t="s">
        <v>6</v>
      </c>
      <c r="G83" s="4" t="s">
        <v>7</v>
      </c>
      <c r="H83" s="7" t="s">
        <v>8</v>
      </c>
      <c r="I83" s="7" t="s">
        <v>9</v>
      </c>
      <c r="K83" s="31"/>
      <c r="L83" s="7"/>
    </row>
    <row r="84" spans="2:13" ht="11.25" hidden="1" customHeight="1" x14ac:dyDescent="0.2">
      <c r="D84" s="5"/>
      <c r="E84" s="5"/>
      <c r="F84" s="5">
        <v>42664</v>
      </c>
      <c r="G84" s="3" t="s">
        <v>10</v>
      </c>
      <c r="H84" s="8" t="s">
        <v>11</v>
      </c>
      <c r="I84" s="8">
        <v>0.16666666666666666</v>
      </c>
    </row>
    <row r="85" spans="2:13" ht="11.25" hidden="1" customHeight="1" x14ac:dyDescent="0.2">
      <c r="D85" s="18" t="s">
        <v>89</v>
      </c>
      <c r="E85" s="19"/>
      <c r="F85" s="19"/>
      <c r="G85" s="20" t="s">
        <v>43</v>
      </c>
      <c r="H85" s="21">
        <v>4.1666666666666664E-2</v>
      </c>
      <c r="I85" s="21">
        <f>0+I87</f>
        <v>4.1666666666666664E-2</v>
      </c>
      <c r="J85" s="19" t="s">
        <v>5</v>
      </c>
      <c r="K85" s="29">
        <v>1</v>
      </c>
    </row>
    <row r="86" spans="2:13" ht="11.25" hidden="1" customHeight="1" x14ac:dyDescent="0.2">
      <c r="F86" s="4" t="s">
        <v>6</v>
      </c>
      <c r="G86" s="4" t="s">
        <v>7</v>
      </c>
      <c r="H86" s="7" t="s">
        <v>8</v>
      </c>
      <c r="I86" s="7" t="s">
        <v>9</v>
      </c>
    </row>
    <row r="87" spans="2:13" ht="11.25" hidden="1" customHeight="1" x14ac:dyDescent="0.2">
      <c r="D87" s="5"/>
      <c r="E87" s="5"/>
      <c r="F87" s="5">
        <v>42664</v>
      </c>
      <c r="G87" s="3" t="s">
        <v>10</v>
      </c>
      <c r="H87" s="8" t="s">
        <v>11</v>
      </c>
      <c r="I87" s="8">
        <v>4.1666666666666664E-2</v>
      </c>
    </row>
    <row r="88" spans="2:13" x14ac:dyDescent="0.2">
      <c r="B88" s="10" t="s">
        <v>44</v>
      </c>
      <c r="C88" s="1"/>
      <c r="D88" s="1"/>
      <c r="E88" s="1"/>
      <c r="F88" s="9"/>
      <c r="G88" s="1"/>
      <c r="H88" s="6">
        <f>0+H89</f>
        <v>0.375</v>
      </c>
      <c r="I88" s="6">
        <f>0+I89</f>
        <v>0.625</v>
      </c>
      <c r="J88" s="2" t="s">
        <v>92</v>
      </c>
      <c r="K88" s="26">
        <f>(0+H89*K89)/H88</f>
        <v>1</v>
      </c>
      <c r="L88" s="11">
        <f>(1-K88)*H88</f>
        <v>0</v>
      </c>
      <c r="M88" s="12"/>
    </row>
    <row r="89" spans="2:13" ht="11.25" hidden="1" customHeight="1" x14ac:dyDescent="0.2">
      <c r="C89" s="16" t="s">
        <v>104</v>
      </c>
      <c r="D89" s="13"/>
      <c r="E89" s="13"/>
      <c r="F89" s="17"/>
      <c r="G89" s="13"/>
      <c r="H89" s="14">
        <f>0+H90+H94+H97</f>
        <v>0.375</v>
      </c>
      <c r="I89" s="14">
        <f>0+I90+I94+I97</f>
        <v>0.625</v>
      </c>
      <c r="J89" s="15" t="s">
        <v>5</v>
      </c>
      <c r="K89" s="28">
        <f>(0+H90*K90+H94*K94+H97*K97)/H89</f>
        <v>1</v>
      </c>
    </row>
    <row r="90" spans="2:13" ht="11.25" hidden="1" customHeight="1" x14ac:dyDescent="0.2">
      <c r="D90" s="18" t="s">
        <v>83</v>
      </c>
      <c r="E90" s="19"/>
      <c r="F90" s="19"/>
      <c r="G90" s="20" t="s">
        <v>45</v>
      </c>
      <c r="H90" s="21">
        <v>0.16666666666666666</v>
      </c>
      <c r="I90" s="21">
        <f>0+I92+I93</f>
        <v>0.41666666666666669</v>
      </c>
      <c r="J90" s="19" t="s">
        <v>5</v>
      </c>
      <c r="K90" s="29">
        <v>1</v>
      </c>
    </row>
    <row r="91" spans="2:13" s="4" customFormat="1" ht="11.25" hidden="1" customHeight="1" x14ac:dyDescent="0.2">
      <c r="F91" s="4" t="s">
        <v>6</v>
      </c>
      <c r="G91" s="4" t="s">
        <v>7</v>
      </c>
      <c r="H91" s="7" t="s">
        <v>8</v>
      </c>
      <c r="I91" s="7" t="s">
        <v>9</v>
      </c>
      <c r="K91" s="31"/>
      <c r="L91" s="7"/>
    </row>
    <row r="92" spans="2:13" ht="11.25" hidden="1" customHeight="1" x14ac:dyDescent="0.2">
      <c r="D92" s="5"/>
      <c r="E92" s="5"/>
      <c r="F92" s="5">
        <v>42662</v>
      </c>
      <c r="G92" s="3" t="s">
        <v>46</v>
      </c>
      <c r="H92" s="8" t="s">
        <v>11</v>
      </c>
      <c r="I92" s="8">
        <v>0.20833333333333334</v>
      </c>
    </row>
    <row r="93" spans="2:13" ht="11.25" hidden="1" customHeight="1" x14ac:dyDescent="0.2">
      <c r="D93" s="5"/>
      <c r="E93" s="5"/>
      <c r="F93" s="5">
        <v>42663</v>
      </c>
      <c r="G93" s="3" t="s">
        <v>46</v>
      </c>
      <c r="H93" s="8" t="s">
        <v>11</v>
      </c>
      <c r="I93" s="8">
        <v>0.20833333333333334</v>
      </c>
    </row>
    <row r="94" spans="2:13" ht="11.25" hidden="1" customHeight="1" x14ac:dyDescent="0.2">
      <c r="D94" s="18" t="s">
        <v>84</v>
      </c>
      <c r="E94" s="19"/>
      <c r="F94" s="19"/>
      <c r="G94" s="20" t="s">
        <v>47</v>
      </c>
      <c r="H94" s="21">
        <v>4.1666666666666664E-2</v>
      </c>
      <c r="I94" s="21">
        <f>0+I96</f>
        <v>4.1666666666666664E-2</v>
      </c>
      <c r="J94" s="19" t="s">
        <v>5</v>
      </c>
      <c r="K94" s="29">
        <v>1</v>
      </c>
    </row>
    <row r="95" spans="2:13" s="4" customFormat="1" ht="11.25" hidden="1" customHeight="1" x14ac:dyDescent="0.2">
      <c r="F95" s="4" t="s">
        <v>6</v>
      </c>
      <c r="G95" s="4" t="s">
        <v>7</v>
      </c>
      <c r="H95" s="7" t="s">
        <v>8</v>
      </c>
      <c r="I95" s="7" t="s">
        <v>9</v>
      </c>
      <c r="K95" s="31"/>
      <c r="L95" s="7"/>
    </row>
    <row r="96" spans="2:13" ht="11.25" hidden="1" customHeight="1" x14ac:dyDescent="0.2">
      <c r="D96" s="5"/>
      <c r="E96" s="5"/>
      <c r="F96" s="5">
        <v>42663</v>
      </c>
      <c r="G96" s="3" t="s">
        <v>46</v>
      </c>
      <c r="H96" s="8" t="s">
        <v>11</v>
      </c>
      <c r="I96" s="8">
        <v>4.1666666666666664E-2</v>
      </c>
    </row>
    <row r="97" spans="2:13" ht="11.25" hidden="1" customHeight="1" x14ac:dyDescent="0.2">
      <c r="D97" s="18" t="s">
        <v>87</v>
      </c>
      <c r="E97" s="19"/>
      <c r="F97" s="19"/>
      <c r="G97" s="20" t="s">
        <v>48</v>
      </c>
      <c r="H97" s="21">
        <v>0.16666666666666666</v>
      </c>
      <c r="I97" s="21">
        <f>0+I99</f>
        <v>0.16666666666666666</v>
      </c>
      <c r="J97" s="19" t="s">
        <v>5</v>
      </c>
      <c r="K97" s="29">
        <v>1</v>
      </c>
    </row>
    <row r="98" spans="2:13" s="4" customFormat="1" ht="11.25" hidden="1" customHeight="1" x14ac:dyDescent="0.2">
      <c r="F98" s="4" t="s">
        <v>6</v>
      </c>
      <c r="G98" s="4" t="s">
        <v>7</v>
      </c>
      <c r="H98" s="7" t="s">
        <v>8</v>
      </c>
      <c r="I98" s="7" t="s">
        <v>9</v>
      </c>
      <c r="K98" s="31"/>
      <c r="L98" s="7"/>
    </row>
    <row r="99" spans="2:13" ht="11.25" hidden="1" customHeight="1" x14ac:dyDescent="0.2">
      <c r="D99" s="5"/>
      <c r="E99" s="5"/>
      <c r="F99" s="5">
        <v>42663</v>
      </c>
      <c r="G99" s="3" t="s">
        <v>26</v>
      </c>
      <c r="H99" s="8" t="s">
        <v>11</v>
      </c>
      <c r="I99" s="8">
        <v>0.16666666666666666</v>
      </c>
    </row>
    <row r="100" spans="2:13" x14ac:dyDescent="0.2">
      <c r="B100" s="10" t="s">
        <v>49</v>
      </c>
      <c r="C100" s="1"/>
      <c r="D100" s="1"/>
      <c r="E100" s="1"/>
      <c r="F100" s="9"/>
      <c r="G100" s="1"/>
      <c r="H100" s="6">
        <f>0+H101</f>
        <v>0.29166666666666663</v>
      </c>
      <c r="I100" s="6">
        <f>0+I101</f>
        <v>0.33333333333333331</v>
      </c>
      <c r="J100" s="2" t="s">
        <v>92</v>
      </c>
      <c r="K100" s="26">
        <f>(0+H101*K101)/H100</f>
        <v>1</v>
      </c>
      <c r="L100" s="11">
        <f>(1-K100)*H100</f>
        <v>0</v>
      </c>
      <c r="M100" s="12"/>
    </row>
    <row r="101" spans="2:13" ht="11.25" hidden="1" customHeight="1" x14ac:dyDescent="0.2">
      <c r="C101" s="16" t="s">
        <v>105</v>
      </c>
      <c r="D101" s="13"/>
      <c r="E101" s="13"/>
      <c r="F101" s="17"/>
      <c r="G101" s="13"/>
      <c r="H101" s="14">
        <f>0+H102+H106+H109+H112</f>
        <v>0.29166666666666663</v>
      </c>
      <c r="I101" s="14">
        <f>0+I102+I106+I109+I112</f>
        <v>0.33333333333333331</v>
      </c>
      <c r="J101" s="15" t="s">
        <v>5</v>
      </c>
      <c r="K101" s="28">
        <f>(0+H102*K102+H106*K106+H109*K109+H112*K112)/H101</f>
        <v>1</v>
      </c>
    </row>
    <row r="102" spans="2:13" ht="11.25" hidden="1" customHeight="1" x14ac:dyDescent="0.2">
      <c r="D102" s="18" t="s">
        <v>83</v>
      </c>
      <c r="E102" s="19"/>
      <c r="F102" s="19"/>
      <c r="G102" s="20" t="s">
        <v>50</v>
      </c>
      <c r="H102" s="21">
        <v>4.1666666666666664E-2</v>
      </c>
      <c r="I102" s="21">
        <f>0+I104+I105</f>
        <v>0.125</v>
      </c>
      <c r="J102" s="19" t="s">
        <v>5</v>
      </c>
      <c r="K102" s="29">
        <v>1</v>
      </c>
    </row>
    <row r="103" spans="2:13" s="4" customFormat="1" ht="11.25" hidden="1" customHeight="1" x14ac:dyDescent="0.2">
      <c r="F103" s="4" t="s">
        <v>6</v>
      </c>
      <c r="G103" s="4" t="s">
        <v>7</v>
      </c>
      <c r="H103" s="7" t="s">
        <v>8</v>
      </c>
      <c r="I103" s="7" t="s">
        <v>9</v>
      </c>
      <c r="K103" s="31"/>
      <c r="L103" s="7"/>
    </row>
    <row r="104" spans="2:13" ht="11.25" hidden="1" customHeight="1" x14ac:dyDescent="0.2">
      <c r="D104" s="5"/>
      <c r="E104" s="5"/>
      <c r="F104" s="5">
        <v>42663</v>
      </c>
      <c r="G104" s="3" t="s">
        <v>26</v>
      </c>
      <c r="H104" s="8" t="s">
        <v>51</v>
      </c>
      <c r="I104" s="8">
        <v>6.25E-2</v>
      </c>
    </row>
    <row r="105" spans="2:13" ht="11.25" hidden="1" customHeight="1" x14ac:dyDescent="0.2">
      <c r="D105" s="5"/>
      <c r="E105" s="5"/>
      <c r="F105" s="5">
        <v>42663</v>
      </c>
      <c r="G105" s="3" t="s">
        <v>46</v>
      </c>
      <c r="H105" s="8" t="s">
        <v>51</v>
      </c>
      <c r="I105" s="8">
        <v>6.25E-2</v>
      </c>
    </row>
    <row r="106" spans="2:13" ht="11.25" hidden="1" customHeight="1" x14ac:dyDescent="0.2">
      <c r="D106" s="18" t="s">
        <v>84</v>
      </c>
      <c r="E106" s="19"/>
      <c r="F106" s="19"/>
      <c r="G106" s="20" t="s">
        <v>52</v>
      </c>
      <c r="H106" s="21">
        <v>0.16666666666666666</v>
      </c>
      <c r="I106" s="21">
        <f>0+I108</f>
        <v>0.10416666666666667</v>
      </c>
      <c r="J106" s="19" t="s">
        <v>5</v>
      </c>
      <c r="K106" s="29">
        <v>1</v>
      </c>
    </row>
    <row r="107" spans="2:13" s="4" customFormat="1" ht="11.25" hidden="1" customHeight="1" x14ac:dyDescent="0.2">
      <c r="F107" s="4" t="s">
        <v>6</v>
      </c>
      <c r="G107" s="4" t="s">
        <v>7</v>
      </c>
      <c r="H107" s="7" t="s">
        <v>8</v>
      </c>
      <c r="I107" s="7" t="s">
        <v>9</v>
      </c>
      <c r="K107" s="31"/>
      <c r="L107" s="7"/>
    </row>
    <row r="108" spans="2:13" ht="11.25" hidden="1" customHeight="1" x14ac:dyDescent="0.2">
      <c r="D108" s="5"/>
      <c r="E108" s="5"/>
      <c r="F108" s="5">
        <v>42664</v>
      </c>
      <c r="G108" s="3" t="s">
        <v>46</v>
      </c>
      <c r="H108" s="8" t="s">
        <v>11</v>
      </c>
      <c r="I108" s="8">
        <v>0.10416666666666667</v>
      </c>
    </row>
    <row r="109" spans="2:13" ht="11.25" hidden="1" customHeight="1" x14ac:dyDescent="0.2">
      <c r="D109" s="18" t="s">
        <v>87</v>
      </c>
      <c r="E109" s="19"/>
      <c r="F109" s="19"/>
      <c r="G109" s="20" t="s">
        <v>53</v>
      </c>
      <c r="H109" s="21">
        <v>4.1666666666666664E-2</v>
      </c>
      <c r="I109" s="21">
        <f>0+I111</f>
        <v>8.3333333333333329E-2</v>
      </c>
      <c r="J109" s="19" t="s">
        <v>5</v>
      </c>
      <c r="K109" s="29">
        <v>1</v>
      </c>
    </row>
    <row r="110" spans="2:13" s="4" customFormat="1" ht="11.25" hidden="1" customHeight="1" x14ac:dyDescent="0.2">
      <c r="F110" s="4" t="s">
        <v>6</v>
      </c>
      <c r="G110" s="4" t="s">
        <v>7</v>
      </c>
      <c r="H110" s="7" t="s">
        <v>8</v>
      </c>
      <c r="I110" s="7" t="s">
        <v>9</v>
      </c>
      <c r="K110" s="31"/>
      <c r="L110" s="7"/>
    </row>
    <row r="111" spans="2:13" ht="11.25" hidden="1" customHeight="1" x14ac:dyDescent="0.2">
      <c r="D111" s="5"/>
      <c r="E111" s="5"/>
      <c r="F111" s="5">
        <v>42664</v>
      </c>
      <c r="G111" s="3" t="s">
        <v>46</v>
      </c>
      <c r="H111" s="8" t="s">
        <v>11</v>
      </c>
      <c r="I111" s="8">
        <v>8.3333333333333329E-2</v>
      </c>
    </row>
    <row r="112" spans="2:13" ht="11.25" hidden="1" customHeight="1" x14ac:dyDescent="0.2">
      <c r="D112" s="18" t="s">
        <v>88</v>
      </c>
      <c r="E112" s="19"/>
      <c r="F112" s="19"/>
      <c r="G112" s="20" t="s">
        <v>54</v>
      </c>
      <c r="H112" s="21">
        <v>4.1666666666666664E-2</v>
      </c>
      <c r="I112" s="21">
        <f>0+I114</f>
        <v>2.0833333333333332E-2</v>
      </c>
      <c r="J112" s="19" t="s">
        <v>5</v>
      </c>
      <c r="K112" s="29">
        <v>1</v>
      </c>
    </row>
    <row r="113" spans="2:13" s="4" customFormat="1" ht="11.25" hidden="1" customHeight="1" x14ac:dyDescent="0.2">
      <c r="F113" s="4" t="s">
        <v>6</v>
      </c>
      <c r="G113" s="4" t="s">
        <v>7</v>
      </c>
      <c r="H113" s="7" t="s">
        <v>8</v>
      </c>
      <c r="I113" s="7" t="s">
        <v>9</v>
      </c>
      <c r="K113" s="31"/>
      <c r="L113" s="7"/>
    </row>
    <row r="114" spans="2:13" ht="11.25" hidden="1" customHeight="1" x14ac:dyDescent="0.2">
      <c r="D114" s="5"/>
      <c r="E114" s="5"/>
      <c r="F114" s="5">
        <v>42681</v>
      </c>
      <c r="G114" s="3" t="s">
        <v>46</v>
      </c>
      <c r="H114" s="8" t="s">
        <v>11</v>
      </c>
      <c r="I114" s="8">
        <v>2.0833333333333332E-2</v>
      </c>
    </row>
    <row r="115" spans="2:13" x14ac:dyDescent="0.2">
      <c r="B115" s="10" t="s">
        <v>55</v>
      </c>
      <c r="C115" s="1"/>
      <c r="D115" s="1"/>
      <c r="E115" s="1"/>
      <c r="F115" s="9"/>
      <c r="G115" s="1"/>
      <c r="H115" s="6">
        <f>0+H116+H132</f>
        <v>2.375</v>
      </c>
      <c r="I115" s="6">
        <f>0+I116+I132</f>
        <v>1.0416666666666665</v>
      </c>
      <c r="J115" s="2" t="s">
        <v>93</v>
      </c>
      <c r="K115" s="26">
        <f>(0+H116*K116+H132*K132)/H115</f>
        <v>0.40350877192982454</v>
      </c>
      <c r="L115" s="11">
        <f>(1-K115)*H115</f>
        <v>1.416666666666667</v>
      </c>
      <c r="M115" s="12">
        <v>42702</v>
      </c>
    </row>
    <row r="116" spans="2:13" ht="11.25" hidden="1" customHeight="1" x14ac:dyDescent="0.2">
      <c r="C116" s="16" t="s">
        <v>102</v>
      </c>
      <c r="D116" s="13"/>
      <c r="E116" s="13"/>
      <c r="F116" s="17"/>
      <c r="G116" s="13"/>
      <c r="H116" s="14">
        <f>0+H117+H121+H128</f>
        <v>0.95833333333333326</v>
      </c>
      <c r="I116" s="14">
        <f>0+I117+I121+I128</f>
        <v>1.0416666666666665</v>
      </c>
      <c r="J116" s="15" t="s">
        <v>5</v>
      </c>
      <c r="K116" s="28">
        <f>(0+H117*K117+H121*K121+H128*K128)/H116</f>
        <v>1</v>
      </c>
    </row>
    <row r="117" spans="2:13" ht="11.25" hidden="1" customHeight="1" x14ac:dyDescent="0.2">
      <c r="D117" s="18" t="s">
        <v>83</v>
      </c>
      <c r="E117" s="19"/>
      <c r="F117" s="19"/>
      <c r="G117" s="20" t="s">
        <v>56</v>
      </c>
      <c r="H117" s="21">
        <v>0.75</v>
      </c>
      <c r="I117" s="21">
        <f>0+I119+I120</f>
        <v>0.5</v>
      </c>
      <c r="J117" s="19" t="s">
        <v>5</v>
      </c>
      <c r="K117" s="29">
        <v>1</v>
      </c>
    </row>
    <row r="118" spans="2:13" s="4" customFormat="1" ht="11.25" hidden="1" customHeight="1" x14ac:dyDescent="0.2">
      <c r="F118" s="4" t="s">
        <v>6</v>
      </c>
      <c r="G118" s="4" t="s">
        <v>7</v>
      </c>
      <c r="H118" s="7" t="s">
        <v>8</v>
      </c>
      <c r="I118" s="7" t="s">
        <v>9</v>
      </c>
      <c r="K118" s="31"/>
      <c r="L118" s="7"/>
    </row>
    <row r="119" spans="2:13" ht="11.25" hidden="1" customHeight="1" x14ac:dyDescent="0.2">
      <c r="D119" s="5"/>
      <c r="E119" s="5"/>
      <c r="F119" s="5">
        <v>42668</v>
      </c>
      <c r="G119" s="3" t="s">
        <v>57</v>
      </c>
      <c r="H119" s="8" t="s">
        <v>11</v>
      </c>
      <c r="I119" s="8">
        <v>0.29166666666666669</v>
      </c>
    </row>
    <row r="120" spans="2:13" ht="11.25" hidden="1" customHeight="1" x14ac:dyDescent="0.2">
      <c r="D120" s="5"/>
      <c r="E120" s="5"/>
      <c r="F120" s="5">
        <v>42669</v>
      </c>
      <c r="G120" s="3" t="s">
        <v>57</v>
      </c>
      <c r="H120" s="8" t="s">
        <v>11</v>
      </c>
      <c r="I120" s="8">
        <v>0.20833333333333334</v>
      </c>
    </row>
    <row r="121" spans="2:13" ht="11.25" hidden="1" customHeight="1" x14ac:dyDescent="0.2">
      <c r="D121" s="18" t="s">
        <v>84</v>
      </c>
      <c r="E121" s="19"/>
      <c r="F121" s="19"/>
      <c r="G121" s="20" t="s">
        <v>42</v>
      </c>
      <c r="H121" s="21">
        <v>0.16666666666666666</v>
      </c>
      <c r="I121" s="21">
        <f>0+I123+I124+I125+I127</f>
        <v>0.45833333333333326</v>
      </c>
      <c r="J121" s="19" t="s">
        <v>5</v>
      </c>
      <c r="K121" s="29">
        <v>1</v>
      </c>
    </row>
    <row r="122" spans="2:13" s="4" customFormat="1" ht="11.25" hidden="1" customHeight="1" x14ac:dyDescent="0.2">
      <c r="F122" s="4" t="s">
        <v>6</v>
      </c>
      <c r="G122" s="4" t="s">
        <v>7</v>
      </c>
      <c r="H122" s="7" t="s">
        <v>8</v>
      </c>
      <c r="I122" s="7" t="s">
        <v>9</v>
      </c>
      <c r="K122" s="31"/>
      <c r="L122" s="7"/>
    </row>
    <row r="123" spans="2:13" ht="11.25" hidden="1" customHeight="1" x14ac:dyDescent="0.2">
      <c r="D123" s="5"/>
      <c r="E123" s="5"/>
      <c r="F123" s="5">
        <v>42669</v>
      </c>
      <c r="G123" s="3" t="s">
        <v>57</v>
      </c>
      <c r="H123" s="8" t="s">
        <v>11</v>
      </c>
      <c r="I123" s="8">
        <v>8.3333333333333329E-2</v>
      </c>
    </row>
    <row r="124" spans="2:13" ht="11.25" hidden="1" customHeight="1" x14ac:dyDescent="0.2">
      <c r="D124" s="5"/>
      <c r="E124" s="5"/>
      <c r="F124" s="5">
        <v>42669</v>
      </c>
      <c r="G124" s="3" t="s">
        <v>57</v>
      </c>
      <c r="H124" s="8" t="s">
        <v>11</v>
      </c>
      <c r="I124" s="8">
        <v>4.1666666666666664E-2</v>
      </c>
    </row>
    <row r="125" spans="2:13" ht="11.25" hidden="1" customHeight="1" x14ac:dyDescent="0.2">
      <c r="D125" s="5"/>
      <c r="E125" s="5"/>
      <c r="F125" s="5">
        <v>42670</v>
      </c>
      <c r="G125" s="3" t="s">
        <v>57</v>
      </c>
      <c r="H125" s="8" t="s">
        <v>11</v>
      </c>
      <c r="I125" s="8">
        <v>0.16666666666666666</v>
      </c>
    </row>
    <row r="126" spans="2:13" ht="11.25" hidden="1" customHeight="1" x14ac:dyDescent="0.2">
      <c r="D126" s="5"/>
      <c r="E126" s="5"/>
      <c r="F126" s="5">
        <v>42670</v>
      </c>
      <c r="G126" s="3" t="s">
        <v>57</v>
      </c>
      <c r="H126" s="8" t="s">
        <v>11</v>
      </c>
      <c r="I126" s="8">
        <v>0</v>
      </c>
    </row>
    <row r="127" spans="2:13" ht="11.25" hidden="1" customHeight="1" x14ac:dyDescent="0.2">
      <c r="D127" s="5"/>
      <c r="E127" s="5"/>
      <c r="F127" s="5">
        <v>42670</v>
      </c>
      <c r="G127" s="3" t="s">
        <v>57</v>
      </c>
      <c r="H127" s="8" t="s">
        <v>11</v>
      </c>
      <c r="I127" s="8">
        <v>0.16666666666666666</v>
      </c>
    </row>
    <row r="128" spans="2:13" ht="11.25" hidden="1" customHeight="1" x14ac:dyDescent="0.2">
      <c r="D128" s="18" t="s">
        <v>87</v>
      </c>
      <c r="E128" s="19"/>
      <c r="F128" s="19"/>
      <c r="G128" s="20" t="s">
        <v>58</v>
      </c>
      <c r="H128" s="21">
        <v>4.1666666666666664E-2</v>
      </c>
      <c r="I128" s="21">
        <f>0+I130+I131</f>
        <v>8.3333333333333329E-2</v>
      </c>
      <c r="J128" s="19" t="s">
        <v>5</v>
      </c>
      <c r="K128" s="29">
        <v>1</v>
      </c>
    </row>
    <row r="129" spans="3:12" s="4" customFormat="1" ht="11.25" hidden="1" customHeight="1" x14ac:dyDescent="0.2">
      <c r="F129" s="4" t="s">
        <v>6</v>
      </c>
      <c r="G129" s="4" t="s">
        <v>7</v>
      </c>
      <c r="H129" s="7" t="s">
        <v>8</v>
      </c>
      <c r="I129" s="7" t="s">
        <v>9</v>
      </c>
      <c r="K129" s="31"/>
      <c r="L129" s="7"/>
    </row>
    <row r="130" spans="3:12" ht="11.25" hidden="1" customHeight="1" x14ac:dyDescent="0.2">
      <c r="D130" s="5"/>
      <c r="E130" s="5"/>
      <c r="F130" s="5">
        <v>42676</v>
      </c>
      <c r="G130" s="3" t="s">
        <v>57</v>
      </c>
      <c r="H130" s="8" t="s">
        <v>11</v>
      </c>
      <c r="I130" s="8">
        <v>4.1666666666666664E-2</v>
      </c>
    </row>
    <row r="131" spans="3:12" ht="11.25" hidden="1" customHeight="1" x14ac:dyDescent="0.2">
      <c r="D131" s="5"/>
      <c r="E131" s="5"/>
      <c r="F131" s="5">
        <v>42676</v>
      </c>
      <c r="G131" s="3" t="s">
        <v>57</v>
      </c>
      <c r="H131" s="8" t="s">
        <v>11</v>
      </c>
      <c r="I131" s="8">
        <v>4.1666666666666664E-2</v>
      </c>
    </row>
    <row r="132" spans="3:12" ht="11.25" hidden="1" customHeight="1" x14ac:dyDescent="0.2">
      <c r="C132" s="16" t="s">
        <v>101</v>
      </c>
      <c r="D132" s="13"/>
      <c r="E132" s="13"/>
      <c r="F132" s="17"/>
      <c r="G132" s="13"/>
      <c r="H132" s="14">
        <f>0+H133+H136+H139+H142+H145+H148</f>
        <v>1.4166666666666665</v>
      </c>
      <c r="I132" s="14">
        <f>0+I133+I136+I139+I142+I145+I148</f>
        <v>0</v>
      </c>
      <c r="J132" s="15" t="s">
        <v>16</v>
      </c>
      <c r="K132" s="28">
        <f>(0+H133*K133+H136*K136+H139*K139+H142*K142+H145*K145+H148*K148)/H132</f>
        <v>0</v>
      </c>
    </row>
    <row r="133" spans="3:12" ht="11.25" hidden="1" customHeight="1" x14ac:dyDescent="0.2">
      <c r="D133" s="18" t="s">
        <v>83</v>
      </c>
      <c r="E133" s="19"/>
      <c r="F133" s="19"/>
      <c r="G133" s="20" t="s">
        <v>59</v>
      </c>
      <c r="H133" s="21">
        <v>8.3333333333333329E-2</v>
      </c>
      <c r="I133" s="21">
        <f>0</f>
        <v>0</v>
      </c>
      <c r="J133" s="19" t="s">
        <v>16</v>
      </c>
      <c r="K133" s="29">
        <f>I133/H133</f>
        <v>0</v>
      </c>
    </row>
    <row r="134" spans="3:12" s="4" customFormat="1" ht="11.25" hidden="1" customHeight="1" x14ac:dyDescent="0.2">
      <c r="F134" s="4" t="s">
        <v>6</v>
      </c>
      <c r="G134" s="4" t="s">
        <v>7</v>
      </c>
      <c r="H134" s="7" t="s">
        <v>8</v>
      </c>
      <c r="I134" s="7" t="s">
        <v>9</v>
      </c>
      <c r="K134" s="31"/>
      <c r="L134" s="7"/>
    </row>
    <row r="135" spans="3:12" ht="11.25" hidden="1" customHeight="1" x14ac:dyDescent="0.2">
      <c r="F135" s="3" t="s">
        <v>17</v>
      </c>
      <c r="G135" s="3" t="s">
        <v>18</v>
      </c>
    </row>
    <row r="136" spans="3:12" ht="11.25" hidden="1" customHeight="1" x14ac:dyDescent="0.2">
      <c r="D136" s="18" t="s">
        <v>84</v>
      </c>
      <c r="E136" s="19"/>
      <c r="F136" s="19"/>
      <c r="G136" s="20" t="s">
        <v>60</v>
      </c>
      <c r="H136" s="21">
        <v>0.91666666666666663</v>
      </c>
      <c r="I136" s="21">
        <f>0</f>
        <v>0</v>
      </c>
      <c r="J136" s="19" t="s">
        <v>16</v>
      </c>
      <c r="K136" s="29">
        <f>I136/H136</f>
        <v>0</v>
      </c>
    </row>
    <row r="137" spans="3:12" s="4" customFormat="1" ht="11.25" hidden="1" customHeight="1" x14ac:dyDescent="0.2">
      <c r="F137" s="4" t="s">
        <v>6</v>
      </c>
      <c r="G137" s="4" t="s">
        <v>7</v>
      </c>
      <c r="H137" s="7" t="s">
        <v>8</v>
      </c>
      <c r="I137" s="7" t="s">
        <v>9</v>
      </c>
      <c r="K137" s="31"/>
      <c r="L137" s="7"/>
    </row>
    <row r="138" spans="3:12" ht="11.25" hidden="1" customHeight="1" x14ac:dyDescent="0.2">
      <c r="F138" s="3" t="s">
        <v>17</v>
      </c>
      <c r="G138" s="3" t="s">
        <v>18</v>
      </c>
    </row>
    <row r="139" spans="3:12" ht="11.25" hidden="1" customHeight="1" x14ac:dyDescent="0.2">
      <c r="D139" s="18" t="s">
        <v>87</v>
      </c>
      <c r="E139" s="19"/>
      <c r="F139" s="19"/>
      <c r="G139" s="20" t="s">
        <v>28</v>
      </c>
      <c r="H139" s="21">
        <v>8.3333333333333329E-2</v>
      </c>
      <c r="I139" s="21">
        <f>0</f>
        <v>0</v>
      </c>
      <c r="J139" s="19" t="s">
        <v>16</v>
      </c>
      <c r="K139" s="29">
        <f>I139/H139</f>
        <v>0</v>
      </c>
    </row>
    <row r="140" spans="3:12" s="4" customFormat="1" ht="11.25" hidden="1" customHeight="1" x14ac:dyDescent="0.2">
      <c r="F140" s="4" t="s">
        <v>6</v>
      </c>
      <c r="G140" s="4" t="s">
        <v>7</v>
      </c>
      <c r="H140" s="7" t="s">
        <v>8</v>
      </c>
      <c r="I140" s="7" t="s">
        <v>9</v>
      </c>
      <c r="K140" s="31"/>
      <c r="L140" s="7"/>
    </row>
    <row r="141" spans="3:12" ht="11.25" hidden="1" customHeight="1" x14ac:dyDescent="0.2">
      <c r="F141" s="3" t="s">
        <v>17</v>
      </c>
      <c r="G141" s="3" t="s">
        <v>18</v>
      </c>
    </row>
    <row r="142" spans="3:12" ht="11.25" hidden="1" customHeight="1" x14ac:dyDescent="0.2">
      <c r="D142" s="18" t="s">
        <v>88</v>
      </c>
      <c r="E142" s="19"/>
      <c r="F142" s="19"/>
      <c r="G142" s="20" t="s">
        <v>29</v>
      </c>
      <c r="H142" s="21">
        <v>0.16666666666666666</v>
      </c>
      <c r="I142" s="21">
        <f>0</f>
        <v>0</v>
      </c>
      <c r="J142" s="19" t="s">
        <v>16</v>
      </c>
      <c r="K142" s="29">
        <f>I142/H142</f>
        <v>0</v>
      </c>
    </row>
    <row r="143" spans="3:12" s="4" customFormat="1" ht="11.25" hidden="1" customHeight="1" x14ac:dyDescent="0.2">
      <c r="F143" s="4" t="s">
        <v>6</v>
      </c>
      <c r="G143" s="4" t="s">
        <v>7</v>
      </c>
      <c r="H143" s="7" t="s">
        <v>8</v>
      </c>
      <c r="I143" s="7" t="s">
        <v>9</v>
      </c>
      <c r="K143" s="31"/>
      <c r="L143" s="7"/>
    </row>
    <row r="144" spans="3:12" ht="11.25" hidden="1" customHeight="1" x14ac:dyDescent="0.2">
      <c r="F144" s="3" t="s">
        <v>17</v>
      </c>
      <c r="G144" s="3" t="s">
        <v>18</v>
      </c>
    </row>
    <row r="145" spans="2:13" ht="11.25" hidden="1" customHeight="1" x14ac:dyDescent="0.2">
      <c r="D145" s="18" t="s">
        <v>89</v>
      </c>
      <c r="E145" s="19"/>
      <c r="F145" s="19"/>
      <c r="G145" s="20" t="s">
        <v>61</v>
      </c>
      <c r="H145" s="21">
        <v>8.3333333333333329E-2</v>
      </c>
      <c r="I145" s="21">
        <f>0</f>
        <v>0</v>
      </c>
      <c r="J145" s="19" t="s">
        <v>16</v>
      </c>
      <c r="K145" s="29">
        <f>I145/H145</f>
        <v>0</v>
      </c>
    </row>
    <row r="146" spans="2:13" s="4" customFormat="1" ht="11.25" hidden="1" customHeight="1" x14ac:dyDescent="0.2">
      <c r="F146" s="4" t="s">
        <v>6</v>
      </c>
      <c r="G146" s="4" t="s">
        <v>7</v>
      </c>
      <c r="H146" s="7" t="s">
        <v>8</v>
      </c>
      <c r="I146" s="7" t="s">
        <v>9</v>
      </c>
      <c r="K146" s="31"/>
      <c r="L146" s="7"/>
    </row>
    <row r="147" spans="2:13" ht="11.25" hidden="1" customHeight="1" x14ac:dyDescent="0.2">
      <c r="F147" s="3" t="s">
        <v>17</v>
      </c>
      <c r="G147" s="3" t="s">
        <v>18</v>
      </c>
    </row>
    <row r="148" spans="2:13" ht="11.25" hidden="1" customHeight="1" x14ac:dyDescent="0.2">
      <c r="D148" s="18" t="s">
        <v>90</v>
      </c>
      <c r="E148" s="19"/>
      <c r="F148" s="19"/>
      <c r="G148" s="20" t="s">
        <v>31</v>
      </c>
      <c r="H148" s="21">
        <v>8.3333333333333329E-2</v>
      </c>
      <c r="I148" s="21">
        <f>0</f>
        <v>0</v>
      </c>
      <c r="J148" s="19" t="s">
        <v>16</v>
      </c>
      <c r="K148" s="29">
        <f>I148/H148</f>
        <v>0</v>
      </c>
    </row>
    <row r="149" spans="2:13" s="4" customFormat="1" ht="11.25" hidden="1" customHeight="1" x14ac:dyDescent="0.2">
      <c r="F149" s="4" t="s">
        <v>6</v>
      </c>
      <c r="G149" s="4" t="s">
        <v>7</v>
      </c>
      <c r="H149" s="7" t="s">
        <v>8</v>
      </c>
      <c r="I149" s="7" t="s">
        <v>9</v>
      </c>
      <c r="K149" s="31"/>
      <c r="L149" s="7"/>
    </row>
    <row r="150" spans="2:13" ht="11.25" hidden="1" customHeight="1" x14ac:dyDescent="0.2">
      <c r="F150" s="3" t="s">
        <v>17</v>
      </c>
      <c r="G150" s="3" t="s">
        <v>18</v>
      </c>
    </row>
    <row r="151" spans="2:13" x14ac:dyDescent="0.2">
      <c r="B151" s="10" t="s">
        <v>62</v>
      </c>
      <c r="C151" s="1"/>
      <c r="D151" s="1"/>
      <c r="E151" s="1"/>
      <c r="F151" s="9"/>
      <c r="G151" s="1"/>
      <c r="H151" s="6">
        <f>0+H152</f>
        <v>0.24999999999999997</v>
      </c>
      <c r="I151" s="6">
        <f>0+I152</f>
        <v>0.24999999999999997</v>
      </c>
      <c r="J151" s="2" t="s">
        <v>95</v>
      </c>
      <c r="K151" s="26">
        <f>(0+H152*K152)/H151</f>
        <v>1</v>
      </c>
      <c r="L151" s="11">
        <f>(1-K151)*H151</f>
        <v>0</v>
      </c>
      <c r="M151" s="12"/>
    </row>
    <row r="152" spans="2:13" ht="11.25" hidden="1" customHeight="1" x14ac:dyDescent="0.2">
      <c r="C152" s="16" t="s">
        <v>106</v>
      </c>
      <c r="D152" s="13"/>
      <c r="E152" s="13"/>
      <c r="F152" s="17"/>
      <c r="G152" s="13"/>
      <c r="H152" s="14">
        <f>0+H153+H156+H159+H162</f>
        <v>0.24999999999999997</v>
      </c>
      <c r="I152" s="14">
        <f>0+I153+I156+I159+I162</f>
        <v>0.24999999999999997</v>
      </c>
      <c r="J152" s="15" t="s">
        <v>5</v>
      </c>
      <c r="K152" s="28">
        <f>(0+H153*K153+H156*K156+H159*K159+H162*K162)/H152</f>
        <v>1</v>
      </c>
    </row>
    <row r="153" spans="2:13" ht="11.25" hidden="1" customHeight="1" x14ac:dyDescent="0.2">
      <c r="D153" s="18" t="s">
        <v>83</v>
      </c>
      <c r="E153" s="19"/>
      <c r="F153" s="19"/>
      <c r="G153" s="20" t="s">
        <v>63</v>
      </c>
      <c r="H153" s="21">
        <v>4.1666666666666664E-2</v>
      </c>
      <c r="I153" s="21">
        <f>0+I155</f>
        <v>8.3333333333333329E-2</v>
      </c>
      <c r="J153" s="19" t="s">
        <v>5</v>
      </c>
      <c r="K153" s="29">
        <v>1</v>
      </c>
    </row>
    <row r="154" spans="2:13" s="4" customFormat="1" ht="11.25" hidden="1" customHeight="1" x14ac:dyDescent="0.2">
      <c r="F154" s="4" t="s">
        <v>6</v>
      </c>
      <c r="G154" s="4" t="s">
        <v>7</v>
      </c>
      <c r="H154" s="7" t="s">
        <v>8</v>
      </c>
      <c r="I154" s="7" t="s">
        <v>9</v>
      </c>
      <c r="K154" s="31"/>
      <c r="L154" s="7"/>
    </row>
    <row r="155" spans="2:13" ht="11.25" hidden="1" customHeight="1" x14ac:dyDescent="0.2">
      <c r="D155" s="5"/>
      <c r="E155" s="5"/>
      <c r="F155" s="5">
        <v>42668</v>
      </c>
      <c r="G155" s="3" t="s">
        <v>26</v>
      </c>
      <c r="H155" s="8" t="s">
        <v>11</v>
      </c>
      <c r="I155" s="8">
        <v>8.3333333333333329E-2</v>
      </c>
    </row>
    <row r="156" spans="2:13" ht="11.25" hidden="1" customHeight="1" x14ac:dyDescent="0.2">
      <c r="D156" s="18" t="s">
        <v>84</v>
      </c>
      <c r="E156" s="19"/>
      <c r="F156" s="19"/>
      <c r="G156" s="20" t="s">
        <v>64</v>
      </c>
      <c r="H156" s="21">
        <v>4.1666666666666664E-2</v>
      </c>
      <c r="I156" s="21">
        <f>0</f>
        <v>0</v>
      </c>
      <c r="J156" s="19" t="s">
        <v>5</v>
      </c>
      <c r="K156" s="29">
        <v>1</v>
      </c>
    </row>
    <row r="157" spans="2:13" s="4" customFormat="1" ht="11.25" hidden="1" customHeight="1" x14ac:dyDescent="0.2">
      <c r="F157" s="4" t="s">
        <v>6</v>
      </c>
      <c r="G157" s="4" t="s">
        <v>7</v>
      </c>
      <c r="H157" s="7" t="s">
        <v>8</v>
      </c>
      <c r="I157" s="7" t="s">
        <v>9</v>
      </c>
      <c r="K157" s="31"/>
      <c r="L157" s="7"/>
    </row>
    <row r="158" spans="2:13" ht="11.25" hidden="1" customHeight="1" x14ac:dyDescent="0.2">
      <c r="F158" s="3" t="s">
        <v>17</v>
      </c>
      <c r="G158" s="3" t="s">
        <v>18</v>
      </c>
    </row>
    <row r="159" spans="2:13" ht="11.25" hidden="1" customHeight="1" x14ac:dyDescent="0.2">
      <c r="D159" s="18" t="s">
        <v>87</v>
      </c>
      <c r="E159" s="19"/>
      <c r="F159" s="19"/>
      <c r="G159" s="20" t="s">
        <v>42</v>
      </c>
      <c r="H159" s="21">
        <v>0.125</v>
      </c>
      <c r="I159" s="21">
        <f>0+I161</f>
        <v>0.125</v>
      </c>
      <c r="J159" s="19" t="s">
        <v>5</v>
      </c>
      <c r="K159" s="29">
        <v>1</v>
      </c>
    </row>
    <row r="160" spans="2:13" s="4" customFormat="1" ht="11.25" hidden="1" customHeight="1" x14ac:dyDescent="0.2">
      <c r="F160" s="4" t="s">
        <v>6</v>
      </c>
      <c r="G160" s="4" t="s">
        <v>7</v>
      </c>
      <c r="H160" s="7" t="s">
        <v>8</v>
      </c>
      <c r="I160" s="7" t="s">
        <v>9</v>
      </c>
      <c r="K160" s="31"/>
      <c r="L160" s="7"/>
    </row>
    <row r="161" spans="2:13" ht="11.25" hidden="1" customHeight="1" x14ac:dyDescent="0.2">
      <c r="D161" s="5"/>
      <c r="E161" s="5"/>
      <c r="F161" s="5">
        <v>42671</v>
      </c>
      <c r="G161" s="3" t="s">
        <v>35</v>
      </c>
      <c r="H161" s="8" t="s">
        <v>11</v>
      </c>
      <c r="I161" s="8">
        <v>0.125</v>
      </c>
    </row>
    <row r="162" spans="2:13" ht="11.25" hidden="1" customHeight="1" x14ac:dyDescent="0.2">
      <c r="D162" s="18" t="s">
        <v>88</v>
      </c>
      <c r="E162" s="19"/>
      <c r="F162" s="19"/>
      <c r="G162" s="20" t="s">
        <v>65</v>
      </c>
      <c r="H162" s="21">
        <v>4.1666666666666664E-2</v>
      </c>
      <c r="I162" s="21">
        <f>0+I164</f>
        <v>4.1666666666666664E-2</v>
      </c>
      <c r="J162" s="19" t="s">
        <v>5</v>
      </c>
      <c r="K162" s="29">
        <v>1</v>
      </c>
    </row>
    <row r="163" spans="2:13" s="4" customFormat="1" ht="11.25" hidden="1" customHeight="1" x14ac:dyDescent="0.2">
      <c r="F163" s="4" t="s">
        <v>6</v>
      </c>
      <c r="G163" s="4" t="s">
        <v>7</v>
      </c>
      <c r="H163" s="7" t="s">
        <v>8</v>
      </c>
      <c r="I163" s="7" t="s">
        <v>9</v>
      </c>
      <c r="K163" s="31"/>
      <c r="L163" s="7"/>
    </row>
    <row r="164" spans="2:13" ht="11.25" hidden="1" customHeight="1" x14ac:dyDescent="0.2">
      <c r="D164" s="5"/>
      <c r="E164" s="5"/>
      <c r="F164" s="5">
        <v>42678</v>
      </c>
      <c r="G164" s="3" t="s">
        <v>35</v>
      </c>
      <c r="H164" s="8" t="s">
        <v>11</v>
      </c>
      <c r="I164" s="8">
        <v>4.1666666666666664E-2</v>
      </c>
    </row>
    <row r="165" spans="2:13" x14ac:dyDescent="0.2">
      <c r="B165" s="10" t="s">
        <v>66</v>
      </c>
      <c r="C165" s="1"/>
      <c r="D165" s="1"/>
      <c r="E165" s="1"/>
      <c r="F165" s="9"/>
      <c r="G165" s="1"/>
      <c r="H165" s="6">
        <f>0+H166</f>
        <v>1.125</v>
      </c>
      <c r="I165" s="6">
        <f>0+I166</f>
        <v>0.9375</v>
      </c>
      <c r="J165" s="2" t="s">
        <v>95</v>
      </c>
      <c r="K165" s="26">
        <f>(0+H166*K166)/H165</f>
        <v>1</v>
      </c>
      <c r="L165" s="11">
        <f>(1-K165)*H165</f>
        <v>0</v>
      </c>
      <c r="M165" s="12"/>
    </row>
    <row r="166" spans="2:13" ht="11.25" hidden="1" customHeight="1" x14ac:dyDescent="0.2">
      <c r="C166" s="16" t="s">
        <v>107</v>
      </c>
      <c r="D166" s="13"/>
      <c r="E166" s="13"/>
      <c r="F166" s="17"/>
      <c r="G166" s="13"/>
      <c r="H166" s="14">
        <f>0+H167+H170+H175</f>
        <v>1.125</v>
      </c>
      <c r="I166" s="14">
        <f>0+I167+I170+I175</f>
        <v>0.9375</v>
      </c>
      <c r="J166" s="15" t="s">
        <v>5</v>
      </c>
      <c r="K166" s="28">
        <f>(0+H167*K167+H170*K170+H175*K175)/H166</f>
        <v>1</v>
      </c>
    </row>
    <row r="167" spans="2:13" ht="11.25" hidden="1" customHeight="1" x14ac:dyDescent="0.2">
      <c r="D167" s="18" t="s">
        <v>83</v>
      </c>
      <c r="E167" s="19"/>
      <c r="F167" s="19"/>
      <c r="G167" s="20" t="s">
        <v>67</v>
      </c>
      <c r="H167" s="21">
        <v>0.41666666666666669</v>
      </c>
      <c r="I167" s="21">
        <f>0+I169</f>
        <v>4.1666666666666664E-2</v>
      </c>
      <c r="J167" s="19" t="s">
        <v>5</v>
      </c>
      <c r="K167" s="29">
        <v>1</v>
      </c>
    </row>
    <row r="168" spans="2:13" s="4" customFormat="1" ht="11.25" hidden="1" customHeight="1" x14ac:dyDescent="0.2">
      <c r="F168" s="4" t="s">
        <v>6</v>
      </c>
      <c r="G168" s="4" t="s">
        <v>7</v>
      </c>
      <c r="H168" s="7" t="s">
        <v>8</v>
      </c>
      <c r="I168" s="7" t="s">
        <v>9</v>
      </c>
      <c r="K168" s="31"/>
      <c r="L168" s="7"/>
    </row>
    <row r="169" spans="2:13" ht="11.25" hidden="1" customHeight="1" x14ac:dyDescent="0.2">
      <c r="D169" s="5"/>
      <c r="E169" s="5"/>
      <c r="F169" s="5">
        <v>42676</v>
      </c>
      <c r="G169" s="3" t="s">
        <v>57</v>
      </c>
      <c r="H169" s="8" t="s">
        <v>11</v>
      </c>
      <c r="I169" s="8">
        <v>4.1666666666666664E-2</v>
      </c>
    </row>
    <row r="170" spans="2:13" ht="11.25" hidden="1" customHeight="1" x14ac:dyDescent="0.2">
      <c r="D170" s="18" t="s">
        <v>84</v>
      </c>
      <c r="E170" s="19"/>
      <c r="F170" s="19"/>
      <c r="G170" s="20" t="s">
        <v>68</v>
      </c>
      <c r="H170" s="21">
        <v>0.5</v>
      </c>
      <c r="I170" s="21">
        <f>0+I172+I173+I174</f>
        <v>0.70833333333333337</v>
      </c>
      <c r="J170" s="19" t="s">
        <v>5</v>
      </c>
      <c r="K170" s="29">
        <v>1</v>
      </c>
    </row>
    <row r="171" spans="2:13" s="4" customFormat="1" ht="11.25" hidden="1" customHeight="1" x14ac:dyDescent="0.2">
      <c r="F171" s="4" t="s">
        <v>6</v>
      </c>
      <c r="G171" s="4" t="s">
        <v>7</v>
      </c>
      <c r="H171" s="7" t="s">
        <v>8</v>
      </c>
      <c r="I171" s="7" t="s">
        <v>9</v>
      </c>
      <c r="K171" s="31"/>
      <c r="L171" s="7"/>
    </row>
    <row r="172" spans="2:13" ht="11.25" hidden="1" customHeight="1" x14ac:dyDescent="0.2">
      <c r="D172" s="5"/>
      <c r="E172" s="5"/>
      <c r="F172" s="5">
        <v>42677</v>
      </c>
      <c r="G172" s="3" t="s">
        <v>57</v>
      </c>
      <c r="H172" s="8" t="s">
        <v>11</v>
      </c>
      <c r="I172" s="8">
        <v>0.20833333333333334</v>
      </c>
    </row>
    <row r="173" spans="2:13" ht="11.25" hidden="1" customHeight="1" x14ac:dyDescent="0.2">
      <c r="D173" s="5"/>
      <c r="E173" s="5"/>
      <c r="F173" s="5">
        <v>42676</v>
      </c>
      <c r="G173" s="3" t="s">
        <v>57</v>
      </c>
      <c r="H173" s="8" t="s">
        <v>11</v>
      </c>
      <c r="I173" s="8">
        <v>0.29166666666666669</v>
      </c>
    </row>
    <row r="174" spans="2:13" ht="11.25" hidden="1" customHeight="1" x14ac:dyDescent="0.2">
      <c r="D174" s="5"/>
      <c r="E174" s="5"/>
      <c r="F174" s="5">
        <v>42678</v>
      </c>
      <c r="G174" s="3" t="s">
        <v>57</v>
      </c>
      <c r="H174" s="8" t="s">
        <v>11</v>
      </c>
      <c r="I174" s="8">
        <v>0.20833333333333334</v>
      </c>
    </row>
    <row r="175" spans="2:13" ht="11.25" hidden="1" customHeight="1" x14ac:dyDescent="0.2">
      <c r="D175" s="18" t="s">
        <v>87</v>
      </c>
      <c r="E175" s="19"/>
      <c r="F175" s="19"/>
      <c r="G175" s="20" t="s">
        <v>69</v>
      </c>
      <c r="H175" s="21">
        <v>0.20833333333333334</v>
      </c>
      <c r="I175" s="21">
        <f>0+I177</f>
        <v>0.1875</v>
      </c>
      <c r="J175" s="19" t="s">
        <v>5</v>
      </c>
      <c r="K175" s="29">
        <v>1</v>
      </c>
    </row>
    <row r="176" spans="2:13" s="4" customFormat="1" ht="11.25" hidden="1" customHeight="1" x14ac:dyDescent="0.2">
      <c r="F176" s="4" t="s">
        <v>6</v>
      </c>
      <c r="G176" s="4" t="s">
        <v>7</v>
      </c>
      <c r="H176" s="7" t="s">
        <v>8</v>
      </c>
      <c r="I176" s="7" t="s">
        <v>9</v>
      </c>
      <c r="K176" s="31"/>
      <c r="L176" s="7"/>
    </row>
    <row r="177" spans="2:13" ht="11.25" hidden="1" customHeight="1" x14ac:dyDescent="0.2">
      <c r="D177" s="5"/>
      <c r="E177" s="5"/>
      <c r="F177" s="5">
        <v>42681</v>
      </c>
      <c r="G177" s="3" t="s">
        <v>57</v>
      </c>
      <c r="H177" s="8" t="s">
        <v>11</v>
      </c>
      <c r="I177" s="8">
        <v>0.1875</v>
      </c>
    </row>
    <row r="178" spans="2:13" x14ac:dyDescent="0.2">
      <c r="B178" s="10" t="s">
        <v>70</v>
      </c>
      <c r="C178" s="1"/>
      <c r="D178" s="1"/>
      <c r="E178" s="1"/>
      <c r="F178" s="9"/>
      <c r="G178" s="1"/>
      <c r="H178" s="6">
        <f>0+H179</f>
        <v>0.45833333333333331</v>
      </c>
      <c r="I178" s="6">
        <f>0+I179</f>
        <v>0.14583333333333334</v>
      </c>
      <c r="J178" s="2" t="s">
        <v>97</v>
      </c>
      <c r="K178" s="26">
        <f>(0+H179*K179)/H178</f>
        <v>0.72727272727272729</v>
      </c>
      <c r="L178" s="11">
        <f>(1-K178)*H178</f>
        <v>0.12499999999999999</v>
      </c>
      <c r="M178" s="12">
        <v>42695</v>
      </c>
    </row>
    <row r="179" spans="2:13" ht="11.25" hidden="1" customHeight="1" x14ac:dyDescent="0.2">
      <c r="C179" s="16" t="s">
        <v>100</v>
      </c>
      <c r="D179" s="13"/>
      <c r="E179" s="13"/>
      <c r="F179" s="17"/>
      <c r="G179" s="13"/>
      <c r="H179" s="14">
        <f>0+H180+H183+H186</f>
        <v>0.45833333333333331</v>
      </c>
      <c r="I179" s="14">
        <f>0+I180+I183+I186</f>
        <v>0.14583333333333334</v>
      </c>
      <c r="J179" s="15"/>
      <c r="K179" s="28">
        <f>(0+H180*K180+H183*K183+H186*K186)/H179</f>
        <v>0.72727272727272729</v>
      </c>
    </row>
    <row r="180" spans="2:13" ht="11.25" hidden="1" customHeight="1" x14ac:dyDescent="0.2">
      <c r="D180" s="18" t="s">
        <v>83</v>
      </c>
      <c r="E180" s="19"/>
      <c r="F180" s="19"/>
      <c r="G180" s="20" t="s">
        <v>71</v>
      </c>
      <c r="H180" s="21">
        <v>0.33333333333333331</v>
      </c>
      <c r="I180" s="21">
        <f>0+I182</f>
        <v>0.14583333333333334</v>
      </c>
      <c r="J180" s="19" t="s">
        <v>5</v>
      </c>
      <c r="K180" s="29">
        <v>1</v>
      </c>
    </row>
    <row r="181" spans="2:13" s="4" customFormat="1" ht="11.25" hidden="1" customHeight="1" x14ac:dyDescent="0.2">
      <c r="F181" s="4" t="s">
        <v>6</v>
      </c>
      <c r="G181" s="4" t="s">
        <v>7</v>
      </c>
      <c r="H181" s="7" t="s">
        <v>8</v>
      </c>
      <c r="I181" s="7" t="s">
        <v>9</v>
      </c>
      <c r="K181" s="31"/>
      <c r="L181" s="7"/>
    </row>
    <row r="182" spans="2:13" ht="11.25" hidden="1" customHeight="1" x14ac:dyDescent="0.2">
      <c r="D182" s="5"/>
      <c r="E182" s="5"/>
      <c r="F182" s="5">
        <v>42681</v>
      </c>
      <c r="G182" s="3" t="s">
        <v>57</v>
      </c>
      <c r="H182" s="8" t="s">
        <v>11</v>
      </c>
      <c r="I182" s="8">
        <v>0.14583333333333334</v>
      </c>
    </row>
    <row r="183" spans="2:13" ht="11.25" hidden="1" customHeight="1" x14ac:dyDescent="0.2">
      <c r="D183" s="18" t="s">
        <v>84</v>
      </c>
      <c r="E183" s="19"/>
      <c r="F183" s="19"/>
      <c r="G183" s="20" t="s">
        <v>72</v>
      </c>
      <c r="H183" s="21">
        <v>8.3333333333333329E-2</v>
      </c>
      <c r="I183" s="21">
        <f>0</f>
        <v>0</v>
      </c>
      <c r="J183" s="19" t="s">
        <v>16</v>
      </c>
      <c r="K183" s="29">
        <f>I183/H183</f>
        <v>0</v>
      </c>
    </row>
    <row r="184" spans="2:13" s="4" customFormat="1" ht="11.25" hidden="1" customHeight="1" x14ac:dyDescent="0.2">
      <c r="F184" s="4" t="s">
        <v>6</v>
      </c>
      <c r="G184" s="4" t="s">
        <v>7</v>
      </c>
      <c r="H184" s="7" t="s">
        <v>8</v>
      </c>
      <c r="I184" s="7" t="s">
        <v>9</v>
      </c>
      <c r="K184" s="31"/>
      <c r="L184" s="7"/>
    </row>
    <row r="185" spans="2:13" ht="11.25" hidden="1" customHeight="1" x14ac:dyDescent="0.2">
      <c r="F185" s="3" t="s">
        <v>17</v>
      </c>
      <c r="G185" s="3" t="s">
        <v>18</v>
      </c>
    </row>
    <row r="186" spans="2:13" ht="11.25" hidden="1" customHeight="1" x14ac:dyDescent="0.2">
      <c r="D186" s="18" t="s">
        <v>87</v>
      </c>
      <c r="E186" s="19"/>
      <c r="F186" s="19"/>
      <c r="G186" s="20" t="s">
        <v>43</v>
      </c>
      <c r="H186" s="21">
        <v>4.1666666666666664E-2</v>
      </c>
      <c r="I186" s="21">
        <f>0</f>
        <v>0</v>
      </c>
      <c r="J186" s="19" t="s">
        <v>16</v>
      </c>
      <c r="K186" s="29">
        <f>I186/H186</f>
        <v>0</v>
      </c>
    </row>
    <row r="187" spans="2:13" s="4" customFormat="1" ht="11.25" hidden="1" customHeight="1" x14ac:dyDescent="0.2">
      <c r="F187" s="4" t="s">
        <v>6</v>
      </c>
      <c r="G187" s="4" t="s">
        <v>7</v>
      </c>
      <c r="H187" s="7" t="s">
        <v>8</v>
      </c>
      <c r="I187" s="7" t="s">
        <v>9</v>
      </c>
      <c r="K187" s="31"/>
      <c r="L187" s="7"/>
    </row>
    <row r="188" spans="2:13" ht="11.25" hidden="1" customHeight="1" x14ac:dyDescent="0.2">
      <c r="F188" s="3" t="s">
        <v>17</v>
      </c>
      <c r="G188" s="3" t="s">
        <v>18</v>
      </c>
    </row>
    <row r="189" spans="2:13" x14ac:dyDescent="0.2">
      <c r="B189" s="10" t="s">
        <v>73</v>
      </c>
      <c r="C189" s="1" t="s">
        <v>74</v>
      </c>
      <c r="D189" s="1" t="s">
        <v>84</v>
      </c>
      <c r="E189" s="1"/>
      <c r="F189" s="9">
        <v>42681</v>
      </c>
      <c r="G189" s="1" t="s">
        <v>75</v>
      </c>
      <c r="H189" s="6">
        <f>0+H190</f>
        <v>0.83333333333333326</v>
      </c>
      <c r="I189" s="6">
        <f>0+I190</f>
        <v>0.375</v>
      </c>
      <c r="J189" s="2" t="s">
        <v>96</v>
      </c>
      <c r="K189" s="26">
        <f>(0+H190*K190)/H189</f>
        <v>0.65</v>
      </c>
      <c r="L189" s="11">
        <f>(1-K189)*H189</f>
        <v>0.29166666666666663</v>
      </c>
      <c r="M189" s="12">
        <v>42691</v>
      </c>
    </row>
    <row r="190" spans="2:13" ht="11.25" hidden="1" customHeight="1" x14ac:dyDescent="0.2">
      <c r="C190" s="16" t="s">
        <v>99</v>
      </c>
      <c r="D190" s="13" t="s">
        <v>84</v>
      </c>
      <c r="E190" s="13"/>
      <c r="F190" s="17">
        <v>42681</v>
      </c>
      <c r="G190" s="13" t="s">
        <v>75</v>
      </c>
      <c r="H190" s="14">
        <f>0+H191+H194+H197+H200</f>
        <v>0.83333333333333326</v>
      </c>
      <c r="I190" s="14">
        <f>0+I191+I194+I197+I200</f>
        <v>0.375</v>
      </c>
      <c r="J190" s="15"/>
      <c r="K190" s="28">
        <f>(0+H191*K191+H194*K194+H197*K197+H200*K200)/H190</f>
        <v>0.65</v>
      </c>
    </row>
    <row r="191" spans="2:13" ht="11.25" hidden="1" customHeight="1" x14ac:dyDescent="0.2">
      <c r="D191" s="18" t="s">
        <v>83</v>
      </c>
      <c r="E191" s="19"/>
      <c r="F191" s="19"/>
      <c r="G191" s="20" t="s">
        <v>39</v>
      </c>
      <c r="H191" s="21">
        <v>0.20833333333333334</v>
      </c>
      <c r="I191" s="21">
        <f>0+I193</f>
        <v>4.1666666666666664E-2</v>
      </c>
      <c r="J191" s="19" t="s">
        <v>5</v>
      </c>
      <c r="K191" s="29">
        <v>1</v>
      </c>
    </row>
    <row r="192" spans="2:13" s="4" customFormat="1" ht="11.25" hidden="1" customHeight="1" x14ac:dyDescent="0.2">
      <c r="F192" s="4" t="s">
        <v>6</v>
      </c>
      <c r="G192" s="4" t="s">
        <v>7</v>
      </c>
      <c r="H192" s="7" t="s">
        <v>8</v>
      </c>
      <c r="I192" s="7" t="s">
        <v>9</v>
      </c>
      <c r="K192" s="31"/>
      <c r="L192" s="7"/>
    </row>
    <row r="193" spans="4:12" ht="11.25" hidden="1" customHeight="1" x14ac:dyDescent="0.2">
      <c r="D193" s="5"/>
      <c r="E193" s="5"/>
      <c r="F193" s="5">
        <v>42681</v>
      </c>
      <c r="G193" s="3" t="s">
        <v>10</v>
      </c>
      <c r="H193" s="8" t="s">
        <v>11</v>
      </c>
      <c r="I193" s="8">
        <v>4.1666666666666664E-2</v>
      </c>
    </row>
    <row r="194" spans="4:12" ht="11.25" hidden="1" customHeight="1" x14ac:dyDescent="0.2">
      <c r="D194" s="18" t="s">
        <v>84</v>
      </c>
      <c r="E194" s="19"/>
      <c r="F194" s="19"/>
      <c r="G194" s="20" t="s">
        <v>75</v>
      </c>
      <c r="H194" s="21">
        <v>0.45833333333333331</v>
      </c>
      <c r="I194" s="21">
        <f>0+I196</f>
        <v>0.33333333333333331</v>
      </c>
      <c r="J194" s="19" t="s">
        <v>25</v>
      </c>
      <c r="K194" s="29">
        <f>I194/H194</f>
        <v>0.72727272727272729</v>
      </c>
    </row>
    <row r="195" spans="4:12" s="4" customFormat="1" ht="11.25" hidden="1" customHeight="1" x14ac:dyDescent="0.2">
      <c r="F195" s="4" t="s">
        <v>6</v>
      </c>
      <c r="G195" s="4" t="s">
        <v>7</v>
      </c>
      <c r="H195" s="7" t="s">
        <v>8</v>
      </c>
      <c r="I195" s="7" t="s">
        <v>9</v>
      </c>
      <c r="K195" s="31"/>
      <c r="L195" s="7"/>
    </row>
    <row r="196" spans="4:12" ht="11.25" hidden="1" customHeight="1" x14ac:dyDescent="0.2">
      <c r="D196" s="5"/>
      <c r="E196" s="5"/>
      <c r="F196" s="5">
        <v>42681</v>
      </c>
      <c r="G196" s="3" t="s">
        <v>10</v>
      </c>
      <c r="H196" s="8" t="s">
        <v>11</v>
      </c>
      <c r="I196" s="8">
        <v>0.33333333333333331</v>
      </c>
    </row>
    <row r="197" spans="4:12" ht="11.25" hidden="1" customHeight="1" x14ac:dyDescent="0.2">
      <c r="D197" s="18" t="s">
        <v>87</v>
      </c>
      <c r="E197" s="19"/>
      <c r="F197" s="19"/>
      <c r="G197" s="20" t="s">
        <v>76</v>
      </c>
      <c r="H197" s="21">
        <v>0.125</v>
      </c>
      <c r="I197" s="21">
        <f>0</f>
        <v>0</v>
      </c>
      <c r="J197" s="19" t="s">
        <v>16</v>
      </c>
      <c r="K197" s="29">
        <f>I197/H197</f>
        <v>0</v>
      </c>
    </row>
    <row r="198" spans="4:12" s="4" customFormat="1" ht="11.25" hidden="1" customHeight="1" x14ac:dyDescent="0.2">
      <c r="F198" s="4" t="s">
        <v>6</v>
      </c>
      <c r="G198" s="4" t="s">
        <v>7</v>
      </c>
      <c r="H198" s="7" t="s">
        <v>8</v>
      </c>
      <c r="I198" s="7" t="s">
        <v>9</v>
      </c>
      <c r="K198" s="31"/>
      <c r="L198" s="7"/>
    </row>
    <row r="199" spans="4:12" ht="11.25" hidden="1" customHeight="1" x14ac:dyDescent="0.2">
      <c r="F199" s="3" t="s">
        <v>17</v>
      </c>
      <c r="G199" s="3" t="s">
        <v>18</v>
      </c>
    </row>
    <row r="200" spans="4:12" ht="11.25" hidden="1" customHeight="1" x14ac:dyDescent="0.2">
      <c r="D200" s="18" t="s">
        <v>88</v>
      </c>
      <c r="E200" s="19"/>
      <c r="F200" s="19"/>
      <c r="G200" s="20" t="s">
        <v>65</v>
      </c>
      <c r="H200" s="21">
        <v>4.1666666666666664E-2</v>
      </c>
      <c r="I200" s="21">
        <f>0</f>
        <v>0</v>
      </c>
      <c r="J200" s="19" t="s">
        <v>16</v>
      </c>
      <c r="K200" s="29">
        <f>I200/H200</f>
        <v>0</v>
      </c>
    </row>
    <row r="201" spans="4:12" s="4" customFormat="1" ht="11.25" hidden="1" customHeight="1" x14ac:dyDescent="0.2">
      <c r="F201" s="4" t="s">
        <v>6</v>
      </c>
      <c r="G201" s="4" t="s">
        <v>7</v>
      </c>
      <c r="H201" s="7" t="s">
        <v>8</v>
      </c>
      <c r="I201" s="7" t="s">
        <v>9</v>
      </c>
      <c r="K201" s="31"/>
      <c r="L201" s="7"/>
    </row>
    <row r="202" spans="4:12" ht="11.25" hidden="1" customHeight="1" x14ac:dyDescent="0.2">
      <c r="F202" s="3" t="s">
        <v>17</v>
      </c>
      <c r="G202" s="3" t="s">
        <v>18</v>
      </c>
    </row>
  </sheetData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{4E48B1A7-2B0E-4226-B238-E8CC46032849}</x14:id>
        </ext>
      </extLst>
    </cfRule>
  </conditionalFormatting>
  <conditionalFormatting sqref="M1:M1048576">
    <cfRule type="expression" dxfId="1" priority="2">
      <formula>AND($M1&lt;TODAY()+$L1*3+7,NOT($J1="Facturada Total"),NOT($J1="Despachada Total"),NOT($J1="En espera de Confirmación"),IFERROR(SEARCH("OT:",B1,1),FALSE()))</formula>
    </cfRule>
    <cfRule type="expression" dxfId="0" priority="1">
      <formula>AND($M1&lt;TODAY()+$L1*3+0,NOT($J1="Facturada Total"),NOT($J1="Despachada Total"),NOT($J1="En espera de Confirmación"),IFERROR(SEARCH("OT:",B1,1),FALSE()))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onfigurar_hoja">
                <anchor moveWithCells="1">
                  <from>
                    <xdr:col>13</xdr:col>
                    <xdr:colOff>19050</xdr:colOff>
                    <xdr:row>0</xdr:row>
                    <xdr:rowOff>28575</xdr:rowOff>
                  </from>
                  <to>
                    <xdr:col>14</xdr:col>
                    <xdr:colOff>209550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48B1A7-2B0E-4226-B238-E8CC460328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Alvarez Rivera</dc:creator>
  <cp:lastModifiedBy>Gabriel Medina Aguilera</cp:lastModifiedBy>
  <dcterms:created xsi:type="dcterms:W3CDTF">2016-11-08T12:24:35Z</dcterms:created>
  <dcterms:modified xsi:type="dcterms:W3CDTF">2016-11-18T18:52:33Z</dcterms:modified>
</cp:coreProperties>
</file>